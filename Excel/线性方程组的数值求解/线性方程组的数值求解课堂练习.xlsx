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 activeTab="1"/>
  </bookViews>
  <sheets>
    <sheet name="雅可比迭代法" sheetId="1" r:id="rId1"/>
    <sheet name="高斯-赛德尔迭代法" sheetId="2" r:id="rId2"/>
    <sheet name="求逆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<sst xmlns="http://schemas.openxmlformats.org/spreadsheetml/2006/main" count="147" uniqueCount="74">
  <si>
    <t>解方程：</t>
  </si>
  <si>
    <t>x</t>
  </si>
  <si>
    <t>A=</t>
  </si>
  <si>
    <t>b=</t>
  </si>
  <si>
    <t>d=</t>
  </si>
  <si>
    <t>d^-1=</t>
  </si>
  <si>
    <t>构造迭代公式：</t>
  </si>
  <si>
    <t>步骤：</t>
  </si>
  <si>
    <t>x1</t>
  </si>
  <si>
    <t>x2</t>
  </si>
  <si>
    <t>x3</t>
  </si>
  <si>
    <t>x4</t>
  </si>
  <si>
    <r>
      <rPr>
        <sz val="11"/>
        <color theme="1"/>
        <rFont val="宋体"/>
        <charset val="134"/>
      </rPr>
      <t>范数</t>
    </r>
    <r>
      <rPr>
        <sz val="11"/>
        <color theme="1"/>
        <rFont val="Times New Roman"/>
        <charset val="134"/>
      </rPr>
      <t>||xk - xk-1||</t>
    </r>
  </si>
  <si>
    <t>验算Ax=</t>
  </si>
  <si>
    <t>b1</t>
  </si>
  <si>
    <t>b2</t>
  </si>
  <si>
    <t>b3</t>
  </si>
  <si>
    <t>b4</t>
  </si>
  <si>
    <t>k=0</t>
  </si>
  <si>
    <t>k=1</t>
  </si>
  <si>
    <t>k=2</t>
  </si>
  <si>
    <t>k=3</t>
  </si>
  <si>
    <t>k=4</t>
  </si>
  <si>
    <t>k=5</t>
  </si>
  <si>
    <t>k=6</t>
  </si>
  <si>
    <t>k=7</t>
  </si>
  <si>
    <t>k=8</t>
  </si>
  <si>
    <t>k=9</t>
  </si>
  <si>
    <t>k=10</t>
  </si>
  <si>
    <t>k=11</t>
  </si>
  <si>
    <t>k=12</t>
  </si>
  <si>
    <t>k=13</t>
  </si>
  <si>
    <t>k=14</t>
  </si>
  <si>
    <t>k=15</t>
  </si>
  <si>
    <t>k=16</t>
  </si>
  <si>
    <t>k=17</t>
  </si>
  <si>
    <t>k=18</t>
  </si>
  <si>
    <t>k=19</t>
  </si>
  <si>
    <t>k=20</t>
  </si>
  <si>
    <t>k=21</t>
  </si>
  <si>
    <t>k=22</t>
  </si>
  <si>
    <t>k=23</t>
  </si>
  <si>
    <t>k=24</t>
  </si>
  <si>
    <t>k=25</t>
  </si>
  <si>
    <t>k=26</t>
  </si>
  <si>
    <t>k=27</t>
  </si>
  <si>
    <t>k=28</t>
  </si>
  <si>
    <t>k=29</t>
  </si>
  <si>
    <t>k=30</t>
  </si>
  <si>
    <t>k=31</t>
  </si>
  <si>
    <t>k=32</t>
  </si>
  <si>
    <t>k=33</t>
  </si>
  <si>
    <t>k=34</t>
  </si>
  <si>
    <t>k=35</t>
  </si>
  <si>
    <t>k=36</t>
  </si>
  <si>
    <t>k=37</t>
  </si>
  <si>
    <t>k=38</t>
  </si>
  <si>
    <t>k=39</t>
  </si>
  <si>
    <t>k=40</t>
  </si>
  <si>
    <t>k=41</t>
  </si>
  <si>
    <t>k=42</t>
  </si>
  <si>
    <t>k=43</t>
  </si>
  <si>
    <t>k=44</t>
  </si>
  <si>
    <t>k=45</t>
  </si>
  <si>
    <t>k=46</t>
  </si>
  <si>
    <t>k=47</t>
  </si>
  <si>
    <t>k=48</t>
  </si>
  <si>
    <t>k=49</t>
  </si>
  <si>
    <t>k=50</t>
  </si>
  <si>
    <t>k=51</t>
  </si>
  <si>
    <t>注意：</t>
  </si>
  <si>
    <t>变量的迭代结果立刻发挥作业</t>
  </si>
  <si>
    <t>得到：</t>
  </si>
  <si>
    <t>A逆=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</si>
</sst>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4" applyNumberFormat="0" applyAlignment="0" applyProtection="0">
      <alignment vertical="center"/>
    </xf>
    <xf numFmtId="0" fontId="13" fillId="4" borderId="25" applyNumberFormat="0" applyAlignment="0" applyProtection="0">
      <alignment vertical="center"/>
    </xf>
    <xf numFmtId="0" fontId="14" fillId="4" borderId="24" applyNumberFormat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1101725</xdr:colOff>
          <xdr:row>10</xdr:row>
          <xdr:rowOff>75565</xdr:rowOff>
        </xdr:from>
        <xdr:to>
          <xdr:col>4</xdr:col>
          <xdr:colOff>864870</xdr:colOff>
          <xdr:row>12</xdr:row>
          <xdr:rowOff>18415</xdr:rowOff>
        </xdr:to>
        <xdr:sp>
          <xdr:nvSpPr>
            <xdr:cNvPr id="1025" name="Object 3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957580" y="2209165"/>
              <a:ext cx="3632200" cy="689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0</xdr:row>
          <xdr:rowOff>67310</xdr:rowOff>
        </xdr:from>
        <xdr:to>
          <xdr:col>1</xdr:col>
          <xdr:colOff>908050</xdr:colOff>
          <xdr:row>2</xdr:row>
          <xdr:rowOff>57150</xdr:rowOff>
        </xdr:to>
        <xdr:sp>
          <xdr:nvSpPr>
            <xdr:cNvPr id="1026" name="Object 3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014730" y="67310"/>
              <a:ext cx="850900" cy="4165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1044575</xdr:colOff>
          <xdr:row>10</xdr:row>
          <xdr:rowOff>104140</xdr:rowOff>
        </xdr:from>
        <xdr:to>
          <xdr:col>4</xdr:col>
          <xdr:colOff>886460</xdr:colOff>
          <xdr:row>12</xdr:row>
          <xdr:rowOff>46990</xdr:rowOff>
        </xdr:to>
        <xdr:sp>
          <xdr:nvSpPr>
            <xdr:cNvPr id="2049" name="Object 3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957580" y="2237740"/>
              <a:ext cx="3632200" cy="689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0</xdr:row>
          <xdr:rowOff>67310</xdr:rowOff>
        </xdr:from>
        <xdr:to>
          <xdr:col>2</xdr:col>
          <xdr:colOff>0</xdr:colOff>
          <xdr:row>2</xdr:row>
          <xdr:rowOff>57150</xdr:rowOff>
        </xdr:to>
        <xdr:sp>
          <xdr:nvSpPr>
            <xdr:cNvPr id="2050" name="Object 3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014730" y="67310"/>
              <a:ext cx="850900" cy="4165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0</xdr:row>
          <xdr:rowOff>67310</xdr:rowOff>
        </xdr:from>
        <xdr:to>
          <xdr:col>2</xdr:col>
          <xdr:colOff>248285</xdr:colOff>
          <xdr:row>2</xdr:row>
          <xdr:rowOff>57150</xdr:rowOff>
        </xdr:to>
        <xdr:sp>
          <xdr:nvSpPr>
            <xdr:cNvPr id="3073" name="Object 3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651510" y="67310"/>
              <a:ext cx="785495" cy="4165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wmf"/><Relationship Id="rId5" Type="http://schemas.openxmlformats.org/officeDocument/2006/relationships/oleObject" Target="../embeddings/oleObject4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wmf"/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65"/>
  <sheetViews>
    <sheetView topLeftCell="A17" workbookViewId="0">
      <selection activeCell="I10" sqref="I10"/>
    </sheetView>
  </sheetViews>
  <sheetFormatPr defaultColWidth="9" defaultRowHeight="16.8"/>
  <cols>
    <col min="1" max="1" width="14.5" customWidth="1"/>
    <col min="2" max="3" width="14.0769230769231"/>
    <col min="4" max="5" width="13.75"/>
    <col min="7" max="7" width="12.9230769230769"/>
    <col min="8" max="8" width="10.875" customWidth="1"/>
    <col min="9" max="9" width="14.0769230769231"/>
    <col min="10" max="10" width="13.75"/>
    <col min="11" max="12" width="14.0769230769231"/>
    <col min="13" max="15" width="13.75"/>
    <col min="17" max="17" width="12.625" style="1"/>
  </cols>
  <sheetData>
    <row r="2" spans="1:17">
      <c r="A2" t="s">
        <v>0</v>
      </c>
    </row>
    <row r="3" spans="1:17">
      <c r="Q3" s="1" t="s">
        <v>1</v>
      </c>
    </row>
    <row r="4" spans="1:17">
      <c r="B4" s="2">
        <v>12</v>
      </c>
      <c r="C4" s="3">
        <v>2</v>
      </c>
      <c r="D4" s="3">
        <v>1</v>
      </c>
      <c r="E4" s="4">
        <v>1</v>
      </c>
      <c r="H4" s="5">
        <v>1</v>
      </c>
      <c r="K4">
        <v>12</v>
      </c>
      <c r="L4">
        <v>0</v>
      </c>
      <c r="M4">
        <v>0</v>
      </c>
      <c r="N4">
        <v>0</v>
      </c>
    </row>
    <row r="5" spans="1:17">
      <c r="B5" s="9">
        <v>1</v>
      </c>
      <c r="C5" s="10">
        <v>9</v>
      </c>
      <c r="D5" s="10">
        <v>1</v>
      </c>
      <c r="E5" s="11">
        <v>2</v>
      </c>
      <c r="H5" s="12">
        <v>1.5</v>
      </c>
      <c r="K5">
        <v>0</v>
      </c>
      <c r="L5">
        <v>9</v>
      </c>
      <c r="M5">
        <v>0</v>
      </c>
      <c r="N5">
        <v>0</v>
      </c>
    </row>
    <row r="6" spans="1:17">
      <c r="A6" s="1" t="s">
        <v>2</v>
      </c>
      <c r="B6" s="9">
        <v>2</v>
      </c>
      <c r="C6" s="10">
        <v>2</v>
      </c>
      <c r="D6" s="10">
        <v>10</v>
      </c>
      <c r="E6" s="11">
        <v>1</v>
      </c>
      <c r="G6" s="15" t="s">
        <v>3</v>
      </c>
      <c r="H6" s="12">
        <v>3</v>
      </c>
      <c r="J6" t="s">
        <v>4</v>
      </c>
      <c r="K6">
        <v>0</v>
      </c>
      <c r="L6">
        <v>0</v>
      </c>
      <c r="M6">
        <v>10</v>
      </c>
      <c r="N6">
        <v>0</v>
      </c>
    </row>
    <row r="7" spans="1:17">
      <c r="B7" s="9">
        <v>2</v>
      </c>
      <c r="C7" s="10">
        <v>1</v>
      </c>
      <c r="D7" s="10">
        <v>2</v>
      </c>
      <c r="E7" s="11">
        <v>8</v>
      </c>
      <c r="H7" s="12">
        <v>2</v>
      </c>
      <c r="K7">
        <v>0</v>
      </c>
      <c r="L7">
        <v>0</v>
      </c>
      <c r="M7">
        <v>0</v>
      </c>
      <c r="N7">
        <v>8</v>
      </c>
    </row>
    <row r="8" spans="1:17">
      <c r="B8" s="20"/>
      <c r="C8" s="21"/>
      <c r="D8" s="21"/>
      <c r="E8" s="22"/>
      <c r="H8" s="19"/>
      <c r="J8" t="s">
        <v>5</v>
      </c>
      <c r="K8" cm="1">
        <f t="array" ref="K8:N11">MINVERSE(K4:N7)</f>
        <v>0.0833333333333333</v>
      </c>
      <c r="L8">
        <v>0</v>
      </c>
      <c r="M8">
        <v>0</v>
      </c>
      <c r="N8">
        <v>0</v>
      </c>
    </row>
    <row r="9" spans="1:17">
      <c r="K9">
        <v>0</v>
      </c>
      <c r="L9">
        <v>0.111111111111111</v>
      </c>
      <c r="M9">
        <v>0</v>
      </c>
      <c r="N9">
        <v>0</v>
      </c>
    </row>
    <row r="10" spans="1:17">
      <c r="K10">
        <v>0</v>
      </c>
      <c r="L10">
        <v>0</v>
      </c>
      <c r="M10">
        <v>0.1</v>
      </c>
      <c r="N10">
        <v>0</v>
      </c>
    </row>
    <row r="11" spans="1:17">
      <c r="K11">
        <v>0</v>
      </c>
      <c r="L11">
        <v>0</v>
      </c>
      <c r="M11">
        <v>0</v>
      </c>
      <c r="N11">
        <v>0.125</v>
      </c>
    </row>
    <row r="12" ht="42" customHeight="1" spans="1:17">
      <c r="A12" t="s">
        <v>6</v>
      </c>
    </row>
    <row r="13" ht="17" spans="1:17">
      <c r="A13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G13" s="25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</row>
    <row r="14" spans="1:17">
      <c r="A14" s="1" t="s">
        <v>18</v>
      </c>
      <c r="B14" s="1">
        <v>1</v>
      </c>
      <c r="C14" s="1">
        <v>1</v>
      </c>
      <c r="D14" s="1">
        <v>1</v>
      </c>
      <c r="E14" s="1">
        <v>1</v>
      </c>
      <c r="G14" s="1"/>
      <c r="H14" s="1"/>
      <c r="I14" s="1">
        <f>$B$4*B14+$C$4*C14+$D$4*D14+$E$4*E14</f>
        <v>16</v>
      </c>
      <c r="J14" s="1">
        <f>$B$5*B14+$C$5*C14+$D$5*D14+$E$5*E14</f>
        <v>13</v>
      </c>
      <c r="K14" s="1">
        <f>$B$6*B14+$C$6*C14+$D$6*D14+$E$6*E14</f>
        <v>15</v>
      </c>
      <c r="L14" s="1">
        <f>$B$7*B14+$C$7*C14+$D$7*D14+$E$7*E14</f>
        <v>13</v>
      </c>
    </row>
    <row r="15" spans="1:17">
      <c r="A15" s="1" t="s">
        <v>19</v>
      </c>
      <c r="B15" s="1" cm="1">
        <f t="array" ref="B15:E15">TRANSPOSE(-1*MMULT($K$8:$N$11,MMULT(($B$4:$E$7-$K$4:$N$7),TRANSPOSE(B14:E14))-$H$4:$H$7))</f>
        <v>-0.25</v>
      </c>
      <c r="C15" s="1">
        <v>-0.277777777777778</v>
      </c>
      <c r="D15" s="1">
        <v>-0.2</v>
      </c>
      <c r="E15" s="1">
        <v>-0.375</v>
      </c>
      <c r="G15" s="1" cm="1">
        <f t="array" ref="G15">SUM(ABS(_xlfn.ANCHORARRAY(B15)-B14:E14))</f>
        <v>5.10277777777778</v>
      </c>
      <c r="I15" s="1" cm="1">
        <f t="array" ref="I15:L15">TRANSPOSE(MMULT($B$4:$E$7,TRANSPOSE(_xlfn.ANCHORARRAY(B15))))</f>
        <v>-4.13055555555556</v>
      </c>
      <c r="J15">
        <v>-3.7</v>
      </c>
      <c r="K15">
        <v>-3.43055555555556</v>
      </c>
      <c r="L15">
        <v>-4.17777777777778</v>
      </c>
    </row>
    <row r="16" spans="1:17">
      <c r="A16" s="1" t="s">
        <v>20</v>
      </c>
      <c r="B16" s="1" cm="1">
        <f t="array" ref="B16:E16">TRANSPOSE(-1*MMULT($K$8:$N$11,MMULT(($B$4:$E$7-$K$4:$N$7),TRANSPOSE(B15:E15))-$H$4:$H$7))</f>
        <v>0.177546296296296</v>
      </c>
      <c r="C16" s="1">
        <v>0.3</v>
      </c>
      <c r="D16" s="1">
        <v>0.443055555555556</v>
      </c>
      <c r="E16" s="1">
        <v>0.397222222222222</v>
      </c>
      <c r="G16" s="1" cm="1">
        <f t="array" ref="G16">SUM(ABS(_xlfn.ANCHORARRAY(B16)-B15:E15))</f>
        <v>2.42060185185185</v>
      </c>
      <c r="I16" s="1" cm="1">
        <f t="array" ref="I16:L16">TRANSPOSE(MMULT($B$4:$E$7,TRANSPOSE(_xlfn.ANCHORARRAY(B16))))</f>
        <v>3.57083333333333</v>
      </c>
      <c r="J16">
        <v>4.1150462962963</v>
      </c>
      <c r="K16">
        <v>5.78287037037037</v>
      </c>
      <c r="L16">
        <v>4.71898148148148</v>
      </c>
    </row>
    <row r="17" spans="1:12">
      <c r="A17" s="1" t="s">
        <v>21</v>
      </c>
      <c r="B17" s="1" cm="1">
        <f t="array" ref="B17:E17">TRANSPOSE(-1*MMULT($K$8:$N$11,MMULT(($B$4:$E$7-$K$4:$N$7),TRANSPOSE(B16:E16))-$H$4:$H$7))</f>
        <v>-0.0366898148148148</v>
      </c>
      <c r="C17" s="1">
        <v>0.00943930041152265</v>
      </c>
      <c r="D17" s="1">
        <v>0.164768518518519</v>
      </c>
      <c r="E17" s="1">
        <v>0.057349537037037</v>
      </c>
      <c r="G17" s="1" cm="1">
        <f t="array" ref="G17">SUM(ABS(_xlfn.ANCHORARRAY(B17)-B16:E16))</f>
        <v>1.12295653292181</v>
      </c>
      <c r="I17" s="1" cm="1">
        <f t="array" ref="I17:L17">TRANSPOSE(MMULT($B$4:$E$7,TRANSPOSE(_xlfn.ANCHORARRAY(B17))))</f>
        <v>-0.199281121399177</v>
      </c>
      <c r="J17">
        <v>0.327731481481482</v>
      </c>
      <c r="K17">
        <v>1.65053369341564</v>
      </c>
      <c r="L17">
        <v>0.724393004115226</v>
      </c>
    </row>
    <row r="18" spans="1:12">
      <c r="A18" s="1" t="s">
        <v>22</v>
      </c>
      <c r="B18" s="1" cm="1">
        <f t="array" ref="B18:E18">TRANSPOSE(-1*MMULT($K$8:$N$11,MMULT(($B$4:$E$7-$K$4:$N$7),TRANSPOSE(B17:E17))-$H$4:$H$7))</f>
        <v>0.0632502786351166</v>
      </c>
      <c r="C18" s="1">
        <v>0.139691358024691</v>
      </c>
      <c r="D18" s="1">
        <v>0.299715149176955</v>
      </c>
      <c r="E18" s="1">
        <v>0.216800411522634</v>
      </c>
      <c r="G18" s="1" cm="1">
        <f t="array" ref="G18">SUM(ABS(_xlfn.ANCHORARRAY(B18)-B17:E17))</f>
        <v>0.524589656207133</v>
      </c>
      <c r="I18" s="1" cm="1">
        <f t="array" ref="I18:L18">TRANSPOSE(MMULT($B$4:$E$7,TRANSPOSE(_xlfn.ANCHORARRAY(B18))))</f>
        <v>1.55490162037037</v>
      </c>
      <c r="J18">
        <v>2.05378847307956</v>
      </c>
      <c r="K18">
        <v>3.6198351766118</v>
      </c>
      <c r="L18">
        <v>2.6000255058299</v>
      </c>
    </row>
    <row r="19" spans="1:12">
      <c r="A19" s="1" t="s">
        <v>23</v>
      </c>
      <c r="B19" s="1" cm="1">
        <f t="array" ref="B19:E19">TRANSPOSE(-1*MMULT($K$8:$N$11,MMULT(($B$4:$E$7-$K$4:$N$7),TRANSPOSE(B18:E18))-$H$4:$H$7))</f>
        <v>0.0170084769375857</v>
      </c>
      <c r="C19" s="1">
        <v>0.0781593054602957</v>
      </c>
      <c r="D19" s="1">
        <v>0.237731631515775</v>
      </c>
      <c r="E19" s="1">
        <v>0.141797223293896</v>
      </c>
      <c r="G19" s="1" cm="1">
        <f t="array" ref="G19">SUM(ABS(_xlfn.ANCHORARRAY(B19)-B18:E18))</f>
        <v>0.244760560151844</v>
      </c>
      <c r="I19" s="1" cm="1">
        <f t="array" ref="I19:L19">TRANSPOSE(MMULT($B$4:$E$7,TRANSPOSE(_xlfn.ANCHORARRAY(B19))))</f>
        <v>0.739949188981291</v>
      </c>
      <c r="J19">
        <v>1.24176830418381</v>
      </c>
      <c r="K19">
        <v>2.70944910324741</v>
      </c>
      <c r="L19">
        <v>1.72201730871818</v>
      </c>
    </row>
    <row r="20" spans="1:12">
      <c r="A20" s="1" t="s">
        <v>24</v>
      </c>
      <c r="B20" s="1" cm="1">
        <f t="array" ref="B20:E20">TRANSPOSE(-1*MMULT($K$8:$N$11,MMULT(($B$4:$E$7-$K$4:$N$7),TRANSPOSE(B19:E19))-$H$4:$H$7))</f>
        <v>0.0386793778558115</v>
      </c>
      <c r="C20" s="1">
        <v>0.106851716106539</v>
      </c>
      <c r="D20" s="1">
        <v>0.266786721191034</v>
      </c>
      <c r="E20" s="1">
        <v>0.176545059704123</v>
      </c>
      <c r="G20" s="1" cm="1">
        <f t="array" ref="G20">SUM(ABS(_xlfn.ANCHORARRAY(B20)-B19:E19))</f>
        <v>0.114166237649955</v>
      </c>
      <c r="I20" s="1" cm="1">
        <f t="array" ref="I20:L20">TRANSPOSE(MMULT($B$4:$E$7,TRANSPOSE(_xlfn.ANCHORARRAY(B20))))</f>
        <v>1.12118774737797</v>
      </c>
      <c r="J20">
        <v>1.62022166341394</v>
      </c>
      <c r="K20">
        <v>3.13547445953916</v>
      </c>
      <c r="L20">
        <v>2.13014439183321</v>
      </c>
    </row>
    <row r="21" spans="1:12">
      <c r="A21" s="1" t="s">
        <v>25</v>
      </c>
      <c r="B21" s="1" cm="1">
        <f t="array" ref="B21:E21">TRANSPOSE(-1*MMULT($K$8:$N$11,MMULT(($B$4:$E$7-$K$4:$N$7),TRANSPOSE(B20:E20))-$H$4:$H$7))</f>
        <v>0.0285803989076471</v>
      </c>
      <c r="C21" s="1">
        <v>0.0934937535049899</v>
      </c>
      <c r="D21" s="1">
        <v>0.253239275237118</v>
      </c>
      <c r="E21" s="1">
        <v>0.160277010724971</v>
      </c>
      <c r="G21" s="1" cm="1">
        <f t="array" ref="G21">SUM(ABS(_xlfn.ANCHORARRAY(B21)-B20:E20))</f>
        <v>0.0532724364827811</v>
      </c>
      <c r="I21" s="1" cm="1">
        <f t="array" ref="I21:L21">TRANSPOSE(MMULT($B$4:$E$7,TRANSPOSE(_xlfn.ANCHORARRAY(B21))))</f>
        <v>0.943468579863834</v>
      </c>
      <c r="J21">
        <v>1.44381747713962</v>
      </c>
      <c r="K21">
        <v>2.93681806792142</v>
      </c>
      <c r="L21">
        <v>1.93934918759429</v>
      </c>
    </row>
    <row r="22" spans="1:12">
      <c r="A22" s="1" t="s">
        <v>26</v>
      </c>
      <c r="B22" s="1" cm="1">
        <f t="array" ref="B22:E22">TRANSPOSE(-1*MMULT($K$8:$N$11,MMULT(($B$4:$E$7-$K$4:$N$7),TRANSPOSE(B21:E21))-$H$4:$H$7))</f>
        <v>0.0332913505856609</v>
      </c>
      <c r="C22" s="1">
        <v>0.0997362560450325</v>
      </c>
      <c r="D22" s="1">
        <v>0.259557468444975</v>
      </c>
      <c r="E22" s="1">
        <v>0.167858362275685</v>
      </c>
      <c r="G22" s="1" cm="1">
        <f t="array" ref="G22">SUM(ABS(_xlfn.ANCHORARRAY(B22)-B21:E21))</f>
        <v>0.024852998976628</v>
      </c>
      <c r="I22" s="1" cm="1">
        <f t="array" ref="I22:L22">TRANSPOSE(MMULT($B$4:$E$7,TRANSPOSE(_xlfn.ANCHORARRAY(B22))))</f>
        <v>1.02638454983866</v>
      </c>
      <c r="J22">
        <v>1.5261918479873</v>
      </c>
      <c r="K22">
        <v>3.02948825998683</v>
      </c>
      <c r="L22">
        <v>2.02830079231179</v>
      </c>
    </row>
    <row r="23" spans="1:12">
      <c r="A23" s="1" t="s">
        <v>27</v>
      </c>
      <c r="B23" s="1" cm="1">
        <f t="array" ref="B23:E23">TRANSPOSE(-1*MMULT($K$8:$N$11,MMULT(($B$4:$E$7-$K$4:$N$7),TRANSPOSE(B22:E22))-$H$4:$H$7))</f>
        <v>0.0310926380991062</v>
      </c>
      <c r="C23" s="1">
        <v>0.0968260507131104</v>
      </c>
      <c r="D23" s="1">
        <v>0.256608642446293</v>
      </c>
      <c r="E23" s="1">
        <v>0.164320763236712</v>
      </c>
      <c r="G23" s="1" cm="1">
        <f t="array" ref="G23">SUM(ABS(_xlfn.ANCHORARRAY(B23)-B22:E22))</f>
        <v>0.0115953428561327</v>
      </c>
      <c r="I23" s="1" cm="1">
        <f t="array" ref="I23:L23">TRANSPOSE(MMULT($B$4:$E$7,TRANSPOSE(_xlfn.ANCHORARRAY(B23))))</f>
        <v>0.9876931642985</v>
      </c>
      <c r="J23">
        <v>1.48777726343682</v>
      </c>
      <c r="K23">
        <v>2.98624456532407</v>
      </c>
      <c r="L23">
        <v>1.9867947176976</v>
      </c>
    </row>
    <row r="24" spans="1:12">
      <c r="A24" s="1" t="s">
        <v>28</v>
      </c>
      <c r="B24" s="1" cm="1">
        <f t="array" ref="B24:E24">TRANSPOSE(-1*MMULT($K$8:$N$11,MMULT(($B$4:$E$7-$K$4:$N$7),TRANSPOSE(B23:E23))-$H$4:$H$7))</f>
        <v>0.0321182077408979</v>
      </c>
      <c r="C24" s="1">
        <v>0.0981841325534641</v>
      </c>
      <c r="D24" s="1">
        <v>0.257984185913886</v>
      </c>
      <c r="E24" s="1">
        <v>0.165971423524511</v>
      </c>
      <c r="G24" s="1" cm="1">
        <f t="array" ref="G24">SUM(ABS(_xlfn.ANCHORARRAY(B24)-B23:E23))</f>
        <v>0.00540985523753774</v>
      </c>
      <c r="I24" s="1" cm="1">
        <f t="array" ref="I24:L24">TRANSPOSE(MMULT($B$4:$E$7,TRANSPOSE(_xlfn.ANCHORARRAY(B24))))</f>
        <v>1.0057423674361</v>
      </c>
      <c r="J24">
        <v>1.50570243368498</v>
      </c>
      <c r="K24">
        <v>3.00641796325209</v>
      </c>
      <c r="L24">
        <v>2.00616030805912</v>
      </c>
    </row>
    <row r="25" spans="1:12">
      <c r="A25" s="1" t="s">
        <v>29</v>
      </c>
      <c r="B25" s="1" cm="1">
        <f t="array" ref="B25:E25">TRANSPOSE(-1*MMULT($K$8:$N$11,MMULT(($B$4:$E$7-$K$4:$N$7),TRANSPOSE(B24:E24))-$H$4:$H$7))</f>
        <v>0.0316396771212229</v>
      </c>
      <c r="C25" s="1">
        <v>0.0975505288106882</v>
      </c>
      <c r="D25" s="1">
        <v>0.257342389588677</v>
      </c>
      <c r="E25" s="1">
        <v>0.165201385017121</v>
      </c>
      <c r="G25" s="1" cm="1">
        <f t="array" ref="G25">SUM(ABS(_xlfn.ANCHORARRAY(B25)-B24:E24))</f>
        <v>0.00252396919505031</v>
      </c>
      <c r="I25" s="1" cm="1">
        <f t="array" ref="I25:L25">TRANSPOSE(MMULT($B$4:$E$7,TRANSPOSE(_xlfn.ANCHORARRAY(B25))))</f>
        <v>0.997320957681849</v>
      </c>
      <c r="J25">
        <v>1.49733959604034</v>
      </c>
      <c r="K25">
        <v>2.99700569276771</v>
      </c>
      <c r="L25">
        <v>1.99712574236746</v>
      </c>
    </row>
    <row r="26" spans="1:12">
      <c r="A26" s="1" t="s">
        <v>30</v>
      </c>
      <c r="B26" s="1" cm="1">
        <f t="array" ref="B26:E26">TRANSPOSE(-1*MMULT($K$8:$N$11,MMULT(($B$4:$E$7-$K$4:$N$7),TRANSPOSE(B25:E25))-$H$4:$H$7))</f>
        <v>0.0318629306477355</v>
      </c>
      <c r="C26" s="1">
        <v>0.0978461292506509</v>
      </c>
      <c r="D26" s="1">
        <v>0.257641820311906</v>
      </c>
      <c r="E26" s="1">
        <v>0.165560667221189</v>
      </c>
      <c r="G26" s="1" cm="1">
        <f t="array" ref="G26">SUM(ABS(_xlfn.ANCHORARRAY(B26)-B25:E25))</f>
        <v>0.00117756689377253</v>
      </c>
      <c r="I26" s="1" cm="1">
        <f t="array" ref="I26:L26">TRANSPOSE(MMULT($B$4:$E$7,TRANSPOSE(_xlfn.ANCHORARRAY(B26))))</f>
        <v>1.00124991380722</v>
      </c>
      <c r="J26">
        <v>1.50124124865788</v>
      </c>
      <c r="K26">
        <v>3.00139699013702</v>
      </c>
      <c r="L26">
        <v>2.00134096893945</v>
      </c>
    </row>
    <row r="27" spans="1:12">
      <c r="A27" s="1" t="s">
        <v>31</v>
      </c>
      <c r="B27" s="1" cm="1">
        <f t="array" ref="B27:E27">TRANSPOSE(-1*MMULT($K$8:$N$11,MMULT(($B$4:$E$7-$K$4:$N$7),TRANSPOSE(B26:E26))-$H$4:$H$7))</f>
        <v>0.0317587711638003</v>
      </c>
      <c r="C27" s="1">
        <v>0.097708212733109</v>
      </c>
      <c r="D27" s="1">
        <v>0.257502121298204</v>
      </c>
      <c r="E27" s="1">
        <v>0.165393046103758</v>
      </c>
      <c r="G27" s="1" cm="1">
        <f t="array" ref="G27">SUM(ABS(_xlfn.ANCHORARRAY(B27)-B26:E26))</f>
        <v>0.00054939613260991</v>
      </c>
      <c r="I27" s="1" cm="1">
        <f t="array" ref="I27:L27">TRANSPOSE(MMULT($B$4:$E$7,TRANSPOSE(_xlfn.ANCHORARRAY(B27))))</f>
        <v>0.999416846833783</v>
      </c>
      <c r="J27">
        <v>1.4994208992675</v>
      </c>
      <c r="K27">
        <v>2.99934822687961</v>
      </c>
      <c r="L27">
        <v>1.99937436648718</v>
      </c>
    </row>
    <row r="28" spans="1:12">
      <c r="A28" s="1" t="s">
        <v>32</v>
      </c>
      <c r="B28" s="1" cm="1">
        <f t="array" ref="B28:E28">TRANSPOSE(-1*MMULT($K$8:$N$11,MMULT(($B$4:$E$7-$K$4:$N$7),TRANSPOSE(B27:E27))-$H$4:$H$7))</f>
        <v>0.031807367260985</v>
      </c>
      <c r="C28" s="1">
        <v>0.0977725572589421</v>
      </c>
      <c r="D28" s="1">
        <v>0.257567298610242</v>
      </c>
      <c r="E28" s="1">
        <v>0.16547125029286</v>
      </c>
      <c r="G28" s="1" cm="1">
        <f t="array" ref="G28">SUM(ABS(_xlfn.ANCHORARRAY(B28)-B27:E27))</f>
        <v>0.000256322124158541</v>
      </c>
      <c r="I28" s="1" cm="1">
        <f t="array" ref="I28:L28">TRANSPOSE(MMULT($B$4:$E$7,TRANSPOSE(_xlfn.ANCHORARRAY(B28))))</f>
        <v>1.00027207055281</v>
      </c>
      <c r="J28">
        <v>1.50027018178743</v>
      </c>
      <c r="K28">
        <v>3.00030408543514</v>
      </c>
      <c r="L28">
        <v>2.00029189134428</v>
      </c>
    </row>
    <row r="29" spans="1:12">
      <c r="A29" s="1" t="s">
        <v>33</v>
      </c>
      <c r="B29" s="1" cm="1">
        <f t="array" ref="B29:E29">TRANSPOSE(-1*MMULT($K$8:$N$11,MMULT(($B$4:$E$7-$K$4:$N$7),TRANSPOSE(B28:E28))-$H$4:$H$7))</f>
        <v>0.0317846947149177</v>
      </c>
      <c r="C29" s="1">
        <v>0.0977425370603391</v>
      </c>
      <c r="D29" s="1">
        <v>0.257536890066729</v>
      </c>
      <c r="E29" s="1">
        <v>0.165434763874825</v>
      </c>
      <c r="G29" s="1" cm="1">
        <f t="array" ref="G29">SUM(ABS(_xlfn.ANCHORARRAY(B29)-B28:E28))</f>
        <v>0.000119587706219094</v>
      </c>
      <c r="I29" s="1" cm="1">
        <f t="array" ref="I29:L29">TRANSPOSE(MMULT($B$4:$E$7,TRANSPOSE(_xlfn.ANCHORARRAY(B29))))</f>
        <v>0.999873064641245</v>
      </c>
      <c r="J29">
        <v>1.49987394607435</v>
      </c>
      <c r="K29">
        <v>2.99985812809262</v>
      </c>
      <c r="L29">
        <v>1.99986381762223</v>
      </c>
    </row>
    <row r="30" spans="1:12">
      <c r="A30" s="1" t="s">
        <v>34</v>
      </c>
      <c r="B30" s="1" cm="1">
        <f t="array" ref="B30:E30">TRANSPOSE(-1*MMULT($K$8:$N$11,MMULT(($B$4:$E$7-$K$4:$N$7),TRANSPOSE(B29:E29))-$H$4:$H$7))</f>
        <v>0.0317952726614807</v>
      </c>
      <c r="C30" s="1">
        <v>0.0977565430520781</v>
      </c>
      <c r="D30" s="1">
        <v>0.257551077257466</v>
      </c>
      <c r="E30" s="1">
        <v>0.165451786672046</v>
      </c>
      <c r="G30" s="1" cm="1">
        <f t="array" ref="G30">SUM(ABS(_xlfn.ANCHORARRAY(B30)-B29:E29))</f>
        <v>5.57939262601018e-5</v>
      </c>
      <c r="I30" s="1" cm="1">
        <f t="array" ref="I30:L30">TRANSPOSE(MMULT($B$4:$E$7,TRANSPOSE(_xlfn.ANCHORARRAY(B30))))</f>
        <v>1.00005922197144</v>
      </c>
      <c r="J30">
        <v>1.50005881073174</v>
      </c>
      <c r="K30">
        <v>3.00006619067382</v>
      </c>
      <c r="L30">
        <v>2.00006353626634</v>
      </c>
    </row>
    <row r="31" spans="1:12">
      <c r="A31" s="1" t="s">
        <v>35</v>
      </c>
      <c r="B31" s="1" cm="1">
        <f t="array" ref="B31:E31">TRANSPOSE(-1*MMULT($K$8:$N$11,MMULT(($B$4:$E$7-$K$4:$N$7),TRANSPOSE(B30:E30))-$H$4:$H$7))</f>
        <v>0.0317903374971943</v>
      </c>
      <c r="C31" s="1">
        <v>0.097750008526329</v>
      </c>
      <c r="D31" s="1">
        <v>0.257544458190084</v>
      </c>
      <c r="E31" s="1">
        <v>0.165443844638754</v>
      </c>
      <c r="G31" s="1" cm="1">
        <f t="array" ref="G31">SUM(ABS(_xlfn.ANCHORARRAY(B31)-B30:E30))</f>
        <v>2.60307907103408e-5</v>
      </c>
      <c r="I31" s="1" cm="1">
        <f t="array" ref="I31:L31">TRANSPOSE(MMULT($B$4:$E$7,TRANSPOSE(_xlfn.ANCHORARRAY(B31))))</f>
        <v>0.999972369847827</v>
      </c>
      <c r="J31">
        <v>1.49997256170175</v>
      </c>
      <c r="K31">
        <v>2.99996911858664</v>
      </c>
      <c r="L31">
        <v>1.99997035701091</v>
      </c>
    </row>
    <row r="32" spans="1:12">
      <c r="A32" s="1" t="s">
        <v>36</v>
      </c>
      <c r="B32" s="1" cm="1">
        <f t="array" ref="B32:E32">TRANSPOSE(-1*MMULT($K$8:$N$11,MMULT(($B$4:$E$7-$K$4:$N$7),TRANSPOSE(B31:E31))-$H$4:$H$7))</f>
        <v>0.0317926400098754</v>
      </c>
      <c r="C32" s="1">
        <v>0.097753057226135</v>
      </c>
      <c r="D32" s="1">
        <v>0.25754754633142</v>
      </c>
      <c r="E32" s="1">
        <v>0.165447550012389</v>
      </c>
      <c r="G32" s="1" cm="1">
        <f t="array" ref="G32">SUM(ABS(_xlfn.ANCHORARRAY(B32)-B31:E31))</f>
        <v>1.2144727459272e-5</v>
      </c>
      <c r="I32" s="1" cm="1">
        <f t="array" ref="I32:L32">TRANSPOSE(MMULT($B$4:$E$7,TRANSPOSE(_xlfn.ANCHORARRAY(B32))))</f>
        <v>1.00001289091458</v>
      </c>
      <c r="J32">
        <v>1.50001280140129</v>
      </c>
      <c r="K32">
        <v>3.00001440779861</v>
      </c>
      <c r="L32">
        <v>2.00001383000784</v>
      </c>
    </row>
    <row r="33" spans="1:12">
      <c r="A33" s="1" t="s">
        <v>37</v>
      </c>
      <c r="B33" s="1" cm="1">
        <f t="array" ref="B33:E33">TRANSPOSE(-1*MMULT($K$8:$N$11,MMULT(($B$4:$E$7-$K$4:$N$7),TRANSPOSE(B32:E32))-$H$4:$H$7))</f>
        <v>0.0317915657669934</v>
      </c>
      <c r="C33" s="1">
        <v>0.097751634848214</v>
      </c>
      <c r="D33" s="1">
        <v>0.257546105551559</v>
      </c>
      <c r="E33" s="1">
        <v>0.165445821261409</v>
      </c>
      <c r="G33" s="1" cm="1">
        <f t="array" ref="G33">SUM(ABS(_xlfn.ANCHORARRAY(B33)-B32:E32))</f>
        <v>5.66615164419165e-6</v>
      </c>
      <c r="I33" s="1" cm="1">
        <f t="array" ref="I33:L33">TRANSPOSE(MMULT($B$4:$E$7,TRANSPOSE(_xlfn.ANCHORARRAY(B33))))</f>
        <v>0.999993985713317</v>
      </c>
      <c r="J33">
        <v>1.4999940274753</v>
      </c>
      <c r="K33">
        <v>2.99999327800741</v>
      </c>
      <c r="L33">
        <v>1.99999354757659</v>
      </c>
    </row>
    <row r="34" spans="1:12">
      <c r="A34" s="1" t="s">
        <v>38</v>
      </c>
      <c r="B34" s="1" cm="1">
        <f t="array" ref="B34:E34">TRANSPOSE(-1*MMULT($K$8:$N$11,MMULT(($B$4:$E$7-$K$4:$N$7),TRANSPOSE(B33:E33))-$H$4:$H$7))</f>
        <v>0.0317920669575503</v>
      </c>
      <c r="C34" s="1">
        <v>0.0977522984620699</v>
      </c>
      <c r="D34" s="1">
        <v>0.257546777750818</v>
      </c>
      <c r="E34" s="1">
        <v>0.165446627814335</v>
      </c>
      <c r="G34" s="1" cm="1">
        <f t="array" ref="G34">SUM(ABS(_xlfn.ANCHORARRAY(B34)-B33:E33))</f>
        <v>2.64355659734816e-6</v>
      </c>
      <c r="I34" s="1" cm="1">
        <f t="array" ref="I34:L34">TRANSPOSE(MMULT($B$4:$E$7,TRANSPOSE(_xlfn.ANCHORARRAY(B34))))</f>
        <v>1.0000028059799</v>
      </c>
      <c r="J34">
        <v>1.50000278649567</v>
      </c>
      <c r="K34">
        <v>3.00000313616175</v>
      </c>
      <c r="L34">
        <v>2.00000301039349</v>
      </c>
    </row>
    <row r="35" spans="1:12">
      <c r="A35" s="1" t="s">
        <v>39</v>
      </c>
      <c r="B35" s="1" cm="1">
        <f t="array" ref="B35:E35">TRANSPOSE(-1*MMULT($K$8:$N$11,MMULT(($B$4:$E$7-$K$4:$N$7),TRANSPOSE(B34:E34))-$H$4:$H$7))</f>
        <v>0.0317918331258923</v>
      </c>
      <c r="C35" s="1">
        <v>0.0977519888514402</v>
      </c>
      <c r="D35" s="1">
        <v>0.257546464134642</v>
      </c>
      <c r="E35" s="1">
        <v>0.165446251515149</v>
      </c>
      <c r="G35" s="1" cm="1">
        <f t="array" ref="G35">SUM(ABS(_xlfn.ANCHORARRAY(B35)-B34:E34))</f>
        <v>1.23335764873334e-6</v>
      </c>
      <c r="I35" s="1" cm="1">
        <f t="array" ref="I35:L35">TRANSPOSE(MMULT($B$4:$E$7,TRANSPOSE(_xlfn.ANCHORARRAY(B35))))</f>
        <v>0.99999869086338</v>
      </c>
      <c r="J35">
        <v>1.4999986999538</v>
      </c>
      <c r="K35">
        <v>2.99999853681624</v>
      </c>
      <c r="L35">
        <v>1.9999985954937</v>
      </c>
    </row>
    <row r="36" spans="1:12">
      <c r="A36" s="1" t="s">
        <v>40</v>
      </c>
      <c r="B36" s="1" cm="1">
        <f t="array" ref="B36:E36">TRANSPOSE(-1*MMULT($K$8:$N$11,MMULT(($B$4:$E$7-$K$4:$N$7),TRANSPOSE(B35:E35))-$H$4:$H$7))</f>
        <v>0.0317919422206107</v>
      </c>
      <c r="C36" s="1">
        <v>0.0977521333010185</v>
      </c>
      <c r="D36" s="1">
        <v>0.257546610453019</v>
      </c>
      <c r="E36" s="1">
        <v>0.165446427078436</v>
      </c>
      <c r="G36" s="1" cm="1">
        <f t="array" ref="G36">SUM(ABS(_xlfn.ANCHORARRAY(B36)-B35:E35))</f>
        <v>5.75425959811748e-7</v>
      </c>
      <c r="I36" s="1" cm="1">
        <f t="array" ref="I36:L36">TRANSPOSE(MMULT($B$4:$E$7,TRANSPOSE(_xlfn.ANCHORARRAY(B36))))</f>
        <v>1.00000061078082</v>
      </c>
      <c r="J36">
        <v>1.50000060653967</v>
      </c>
      <c r="K36">
        <v>3.00000068265188</v>
      </c>
      <c r="L36">
        <v>2.00000065527577</v>
      </c>
    </row>
    <row r="37" spans="1:12">
      <c r="A37" s="1" t="s">
        <v>41</v>
      </c>
      <c r="B37" s="1" cm="1">
        <f t="array" ref="B37:E37">TRANSPOSE(-1*MMULT($K$8:$N$11,MMULT(($B$4:$E$7-$K$4:$N$7),TRANSPOSE(B36:E36))-$H$4:$H$7))</f>
        <v>0.031791891322209</v>
      </c>
      <c r="C37" s="1">
        <v>0.097752065907722</v>
      </c>
      <c r="D37" s="1">
        <v>0.257546542187831</v>
      </c>
      <c r="E37" s="1">
        <v>0.165446345168965</v>
      </c>
      <c r="G37" s="1" cm="1">
        <f t="array" ref="G37">SUM(ABS(_xlfn.ANCHORARRAY(B37)-B36:E36))</f>
        <v>2.68466357054853e-7</v>
      </c>
      <c r="I37" s="1" cm="1">
        <f t="array" ref="I37:L37">TRANSPOSE(MMULT($B$4:$E$7,TRANSPOSE(_xlfn.ANCHORARRAY(B37))))</f>
        <v>0.999999715038748</v>
      </c>
      <c r="J37">
        <v>1.49999971701747</v>
      </c>
      <c r="K37">
        <v>2.99999968150713</v>
      </c>
      <c r="L37">
        <v>1.99999969427952</v>
      </c>
    </row>
    <row r="38" spans="1:12">
      <c r="A38" s="1" t="s">
        <v>42</v>
      </c>
      <c r="B38" s="1" cm="1">
        <f t="array" ref="B38:E38">TRANSPOSE(-1*MMULT($K$8:$N$11,MMULT(($B$4:$E$7-$K$4:$N$7),TRANSPOSE(B37:E37))-$H$4:$H$7))</f>
        <v>0.03179191506898</v>
      </c>
      <c r="C38" s="1">
        <v>0.0977520973502255</v>
      </c>
      <c r="D38" s="1">
        <v>0.257546574037117</v>
      </c>
      <c r="E38" s="1">
        <v>0.165446383384025</v>
      </c>
      <c r="G38" s="1" cm="1">
        <f t="array" ref="G38">SUM(ABS(_xlfn.ANCHORARRAY(B38)-B37:E37))</f>
        <v>1.25253620655852e-7</v>
      </c>
      <c r="I38" s="1" cm="1">
        <f t="array" ref="I38:L38">TRANSPOSE(MMULT($B$4:$E$7,TRANSPOSE(_xlfn.ANCHORARRAY(B38))))</f>
        <v>1.00000013294935</v>
      </c>
      <c r="J38">
        <v>1.50000013202618</v>
      </c>
      <c r="K38">
        <v>3.00000014859361</v>
      </c>
      <c r="L38">
        <v>2.00000014263462</v>
      </c>
    </row>
    <row r="39" spans="1:12">
      <c r="A39" s="1" t="s">
        <v>43</v>
      </c>
      <c r="B39" s="1" cm="1">
        <f t="array" ref="B39:E39">TRANSPOSE(-1*MMULT($K$8:$N$11,MMULT(($B$4:$E$7-$K$4:$N$7),TRANSPOSE(B38:E38))-$H$4:$H$7))</f>
        <v>0.0317919039898672</v>
      </c>
      <c r="C39" s="1">
        <v>0.0977520826806503</v>
      </c>
      <c r="D39" s="1">
        <v>0.257546559177756</v>
      </c>
      <c r="E39" s="1">
        <v>0.165446365554697</v>
      </c>
      <c r="G39" s="1" cm="1">
        <f t="array" ref="G39">SUM(ABS(_xlfn.ANCHORARRAY(B39)-B38:E38))</f>
        <v>5.84373761464141e-8</v>
      </c>
      <c r="I39" s="1" cm="1">
        <f t="array" ref="I39:L39">TRANSPOSE(MMULT($B$4:$E$7,TRANSPOSE(_xlfn.ANCHORARRAY(B39))))</f>
        <v>0.999999937972161</v>
      </c>
      <c r="J39">
        <v>1.49999993840287</v>
      </c>
      <c r="K39">
        <v>2.9999999306733</v>
      </c>
      <c r="L39">
        <v>1.99999993345348</v>
      </c>
    </row>
    <row r="40" spans="1:12">
      <c r="A40" s="1" t="s">
        <v>44</v>
      </c>
      <c r="B40" s="1" cm="1">
        <f t="array" ref="B40:E40">TRANSPOSE(-1*MMULT($K$8:$N$11,MMULT(($B$4:$E$7-$K$4:$N$7),TRANSPOSE(B39:E39))-$H$4:$H$7))</f>
        <v>0.0317919091588538</v>
      </c>
      <c r="C40" s="1">
        <v>0.0977520895247757</v>
      </c>
      <c r="D40" s="1">
        <v>0.257546566110427</v>
      </c>
      <c r="E40" s="1">
        <v>0.165446373873013</v>
      </c>
      <c r="G40" s="1" cm="1">
        <f t="array" ref="G40">SUM(ABS(_xlfn.ANCHORARRAY(B40)-B39:E39))</f>
        <v>2.72640975559901e-8</v>
      </c>
      <c r="I40" s="1" cm="1">
        <f t="array" ref="I40:L40">TRANSPOSE(MMULT($B$4:$E$7,TRANSPOSE(_xlfn.ANCHORARRAY(B40))))</f>
        <v>1.00000002893924</v>
      </c>
      <c r="J40">
        <v>1.50000002873829</v>
      </c>
      <c r="K40">
        <v>3.00000003234454</v>
      </c>
      <c r="L40">
        <v>2.00000003104744</v>
      </c>
    </row>
    <row r="41" spans="1:12">
      <c r="A41" s="1" t="s">
        <v>45</v>
      </c>
      <c r="B41" s="1" cm="1">
        <f t="array" ref="B41:E41">TRANSPOSE(-1*MMULT($K$8:$N$11,MMULT(($B$4:$E$7-$K$4:$N$7),TRANSPOSE(B40:E40))-$H$4:$H$7))</f>
        <v>0.0317919067472508</v>
      </c>
      <c r="C41" s="1">
        <v>0.0977520863316326</v>
      </c>
      <c r="D41" s="1">
        <v>0.257546562875973</v>
      </c>
      <c r="E41" s="1">
        <v>0.165446369992083</v>
      </c>
      <c r="G41" s="1" cm="1">
        <f t="array" ref="G41">SUM(ABS(_xlfn.ANCHORARRAY(B41)-B40:E40))</f>
        <v>1.27201299215951e-8</v>
      </c>
      <c r="I41" s="1" cm="1">
        <f t="array" ref="I41:L41">TRANSPOSE(MMULT($B$4:$E$7,TRANSPOSE(_xlfn.ANCHORARRAY(B41))))</f>
        <v>0.99999998649833</v>
      </c>
      <c r="J41">
        <v>1.49999998659208</v>
      </c>
      <c r="K41">
        <v>2.99999998490958</v>
      </c>
      <c r="L41">
        <v>1.99999998551474</v>
      </c>
    </row>
    <row r="42" spans="1:12">
      <c r="A42" s="1" t="s">
        <v>46</v>
      </c>
      <c r="B42" s="1" cm="1">
        <f t="array" ref="B42:E42">TRANSPOSE(-1*MMULT($K$8:$N$11,MMULT(($B$4:$E$7-$K$4:$N$7),TRANSPOSE(B41:E41))-$H$4:$H$7))</f>
        <v>0.0317919078723899</v>
      </c>
      <c r="C42" s="1">
        <v>0.0977520878214012</v>
      </c>
      <c r="D42" s="1">
        <v>0.257546564385015</v>
      </c>
      <c r="E42" s="1">
        <v>0.16544637180274</v>
      </c>
      <c r="G42" s="1" cm="1">
        <f t="array" ref="G42">SUM(ABS(_xlfn.ANCHORARRAY(B42)-B41:E41))</f>
        <v>5.93460702802417e-9</v>
      </c>
      <c r="I42" s="1" cm="1">
        <f t="array" ref="I42:L42">TRANSPOSE(MMULT($B$4:$E$7,TRANSPOSE(_xlfn.ANCHORARRAY(B42))))</f>
        <v>1.00000000629924</v>
      </c>
      <c r="J42">
        <v>1.5000000062555</v>
      </c>
      <c r="K42">
        <v>3.00000000704047</v>
      </c>
      <c r="L42">
        <v>2.00000000675813</v>
      </c>
    </row>
    <row r="43" spans="1:12">
      <c r="A43" s="1" t="s">
        <v>47</v>
      </c>
      <c r="B43" s="1" cm="1">
        <f t="array" ref="B43:E43">TRANSPOSE(-1*MMULT($K$8:$N$11,MMULT(($B$4:$E$7-$K$4:$N$7),TRANSPOSE(B42:E42))-$H$4:$H$7))</f>
        <v>0.0317919073474535</v>
      </c>
      <c r="C43" s="1">
        <v>0.0977520871263461</v>
      </c>
      <c r="D43" s="1">
        <v>0.257546563680968</v>
      </c>
      <c r="E43" s="1">
        <v>0.165446370957974</v>
      </c>
      <c r="G43" s="1" cm="1">
        <f t="array" ref="G43">SUM(ABS(_xlfn.ANCHORARRAY(B43)-B42:E42))</f>
        <v>2.76880511573818e-9</v>
      </c>
      <c r="I43" s="1" cm="1">
        <f t="array" ref="I43:L43">TRANSPOSE(MMULT($B$4:$E$7,TRANSPOSE(_xlfn.ANCHORARRAY(B43))))</f>
        <v>0.999999997061076</v>
      </c>
      <c r="J43">
        <v>1.49999999708148</v>
      </c>
      <c r="K43">
        <v>2.99999999671525</v>
      </c>
      <c r="L43">
        <v>1.99999999684698</v>
      </c>
    </row>
    <row r="44" spans="1:12">
      <c r="A44" s="1" t="s">
        <v>48</v>
      </c>
      <c r="B44" s="1" cm="1">
        <f t="array" ref="B44:E44">TRANSPOSE(-1*MMULT($K$8:$N$11,MMULT(($B$4:$E$7-$K$4:$N$7),TRANSPOSE(B43:E43))-$H$4:$H$7))</f>
        <v>0.0317919075923639</v>
      </c>
      <c r="C44" s="1">
        <v>0.0977520874506257</v>
      </c>
      <c r="D44" s="1">
        <v>0.257546564009443</v>
      </c>
      <c r="E44" s="1">
        <v>0.165446371352101</v>
      </c>
      <c r="G44" s="1" cm="1">
        <f t="array" ref="G44">SUM(ABS(_xlfn.ANCHORARRAY(B44)-B43:E43))</f>
        <v>1.29179265201396e-9</v>
      </c>
      <c r="I44" s="1" cm="1">
        <f t="array" ref="I44:L44">TRANSPOSE(MMULT($B$4:$E$7,TRANSPOSE(_xlfn.ANCHORARRAY(B44))))</f>
        <v>1.00000000137116</v>
      </c>
      <c r="J44">
        <v>1.50000000136164</v>
      </c>
      <c r="K44">
        <v>3.00000000153251</v>
      </c>
      <c r="L44">
        <v>2.00000000147105</v>
      </c>
    </row>
    <row r="45" spans="1:12">
      <c r="A45" s="1" t="s">
        <v>49</v>
      </c>
      <c r="B45" s="1" cm="1">
        <f t="array" ref="B45:E45">TRANSPOSE(-1*MMULT($K$8:$N$11,MMULT(($B$4:$E$7-$K$4:$N$7),TRANSPOSE(B44:E44))-$H$4:$H$7))</f>
        <v>0.0317919074781004</v>
      </c>
      <c r="C45" s="1">
        <v>0.0977520872993323</v>
      </c>
      <c r="D45" s="1">
        <v>0.257546563856192</v>
      </c>
      <c r="E45" s="1">
        <v>0.16544637116822</v>
      </c>
      <c r="G45" s="1" cm="1">
        <f t="array" ref="G45">SUM(ABS(_xlfn.ANCHORARRAY(B45)-B44:E44))</f>
        <v>6.02688933482032e-10</v>
      </c>
      <c r="I45" s="1" cm="1">
        <f t="array" ref="I45:L45">TRANSPOSE(MMULT($B$4:$E$7,TRANSPOSE(_xlfn.ANCHORARRAY(B45))))</f>
        <v>0.999999999360281</v>
      </c>
      <c r="J45">
        <v>1.49999999936472</v>
      </c>
      <c r="K45">
        <v>2.999999999285</v>
      </c>
      <c r="L45">
        <v>1.99999999931368</v>
      </c>
    </row>
    <row r="46" spans="1:12">
      <c r="A46" s="1" t="s">
        <v>50</v>
      </c>
      <c r="B46" s="1" cm="1">
        <f t="array" ref="B46:E46">TRANSPOSE(-1*MMULT($K$8:$N$11,MMULT(($B$4:$E$7-$K$4:$N$7),TRANSPOSE(B45:E45))-$H$4:$H$7))</f>
        <v>0.0317919075314103</v>
      </c>
      <c r="C46" s="1">
        <v>0.0977520873699186</v>
      </c>
      <c r="D46" s="1">
        <v>0.257546563927691</v>
      </c>
      <c r="E46" s="1">
        <v>0.16544637125401</v>
      </c>
      <c r="G46" s="1" cm="1">
        <f t="array" ref="G46">SUM(ABS(_xlfn.ANCHORARRAY(B46)-B45:E45))</f>
        <v>2.81185907891057e-10</v>
      </c>
      <c r="I46" s="1" cm="1">
        <f t="array" ref="I46:L46">TRANSPOSE(MMULT($B$4:$E$7,TRANSPOSE(_xlfn.ANCHORARRAY(B46))))</f>
        <v>1.00000000029846</v>
      </c>
      <c r="J46">
        <v>1.50000000029639</v>
      </c>
      <c r="K46">
        <v>3.00000000033358</v>
      </c>
      <c r="L46">
        <v>2.00000000032021</v>
      </c>
    </row>
    <row r="47" spans="1:12">
      <c r="A47" s="1" t="s">
        <v>51</v>
      </c>
      <c r="B47" s="1" cm="1">
        <f t="array" ref="B47:E47">TRANSPOSE(-1*MMULT($K$8:$N$11,MMULT(($B$4:$E$7-$K$4:$N$7),TRANSPOSE(B46:E46))-$H$4:$H$7))</f>
        <v>0.0317919075065384</v>
      </c>
      <c r="C47" s="1">
        <v>0.0977520873369864</v>
      </c>
      <c r="D47" s="1">
        <v>0.257546563894333</v>
      </c>
      <c r="E47" s="1">
        <v>0.165446371213985</v>
      </c>
      <c r="G47" s="1" cm="1">
        <f t="array" ref="G47">SUM(ABS(_xlfn.ANCHORARRAY(B47)-B46:E46))</f>
        <v>1.31187880003658e-10</v>
      </c>
      <c r="I47" s="1" cm="1">
        <f t="array" ref="I47:L47">TRANSPOSE(MMULT($B$4:$E$7,TRANSPOSE(_xlfn.ANCHORARRAY(B47))))</f>
        <v>0.999999999860752</v>
      </c>
      <c r="J47">
        <v>1.49999999986172</v>
      </c>
      <c r="K47">
        <v>2.99999999984437</v>
      </c>
      <c r="L47">
        <v>1.99999999985061</v>
      </c>
    </row>
    <row r="48" spans="1:12">
      <c r="A48" s="1" t="s">
        <v>52</v>
      </c>
      <c r="B48" s="1" cm="1">
        <f t="array" ref="B48:E48">TRANSPOSE(-1*MMULT($K$8:$N$11,MMULT(($B$4:$E$7-$K$4:$N$7),TRANSPOSE(B47:E47))-$H$4:$H$7))</f>
        <v>0.0317919075181424</v>
      </c>
      <c r="C48" s="1">
        <v>0.097752087352351</v>
      </c>
      <c r="D48" s="1">
        <v>0.257546563909897</v>
      </c>
      <c r="E48" s="1">
        <v>0.165446371232659</v>
      </c>
      <c r="G48" s="1" cm="1">
        <f t="array" ref="G48">SUM(ABS(_xlfn.ANCHORARRAY(B48)-B47:E47))</f>
        <v>6.12059639082396e-11</v>
      </c>
      <c r="I48" s="1" cm="1">
        <f t="array" ref="I48:L48">TRANSPOSE(MMULT($B$4:$E$7,TRANSPOSE(_xlfn.ANCHORARRAY(B48))))</f>
        <v>1.00000000006497</v>
      </c>
      <c r="J48">
        <v>1.50000000006452</v>
      </c>
      <c r="K48">
        <v>3.00000000007261</v>
      </c>
      <c r="L48">
        <v>2.0000000000697</v>
      </c>
    </row>
    <row r="49" spans="1:12">
      <c r="A49" s="1" t="s">
        <v>53</v>
      </c>
      <c r="B49" s="1" cm="1">
        <f t="array" ref="B49:E49">TRANSPOSE(-1*MMULT($K$8:$N$11,MMULT(($B$4:$E$7-$K$4:$N$7),TRANSPOSE(B48:E48))-$H$4:$H$7))</f>
        <v>0.0317919075127286</v>
      </c>
      <c r="C49" s="1">
        <v>0.0977520873451826</v>
      </c>
      <c r="D49" s="1">
        <v>0.257546563902635</v>
      </c>
      <c r="E49" s="1">
        <v>0.165446371223946</v>
      </c>
      <c r="G49" s="1" cm="1">
        <f t="array" ref="G49">SUM(ABS(_xlfn.ANCHORARRAY(B49)-B48:E48))</f>
        <v>2.85557202883702e-11</v>
      </c>
      <c r="I49" s="1" cm="1">
        <f t="array" ref="I49:L49">TRANSPOSE(MMULT($B$4:$E$7,TRANSPOSE(_xlfn.ANCHORARRAY(B49))))</f>
        <v>0.99999999996969</v>
      </c>
      <c r="J49">
        <v>1.4999999999699</v>
      </c>
      <c r="K49">
        <v>2.99999999996612</v>
      </c>
      <c r="L49">
        <v>1.99999999996748</v>
      </c>
    </row>
    <row r="50" spans="1:12">
      <c r="A50" s="1" t="s">
        <v>54</v>
      </c>
      <c r="B50" s="1" cm="1">
        <f t="array" ref="B50:E50">TRANSPOSE(-1*MMULT($K$8:$N$11,MMULT(($B$4:$E$7-$K$4:$N$7),TRANSPOSE(B49:E49))-$H$4:$H$7))</f>
        <v>0.0317919075152544</v>
      </c>
      <c r="C50" s="1">
        <v>0.097752087348527</v>
      </c>
      <c r="D50" s="1">
        <v>0.257546563906023</v>
      </c>
      <c r="E50" s="1">
        <v>0.165446371228011</v>
      </c>
      <c r="G50" s="1" cm="1">
        <f t="array" ref="G50">SUM(ABS(_xlfn.ANCHORARRAY(B50)-B49:E49))</f>
        <v>1.33227248677592e-11</v>
      </c>
      <c r="I50" s="1" cm="1">
        <f t="array" ref="I50:L50">TRANSPOSE(MMULT($B$4:$E$7,TRANSPOSE(_xlfn.ANCHORARRAY(B50))))</f>
        <v>1.00000000001414</v>
      </c>
      <c r="J50">
        <v>1.50000000001404</v>
      </c>
      <c r="K50">
        <v>3.00000000001581</v>
      </c>
      <c r="L50">
        <v>2.00000000001517</v>
      </c>
    </row>
    <row r="51" spans="1:12">
      <c r="A51" s="1" t="s">
        <v>55</v>
      </c>
      <c r="B51" s="1" cm="1">
        <f t="array" ref="B51:E51">TRANSPOSE(-1*MMULT($K$8:$N$11,MMULT(($B$4:$E$7-$K$4:$N$7),TRANSPOSE(B50:E50))-$H$4:$H$7))</f>
        <v>0.031791907514076</v>
      </c>
      <c r="C51" s="1">
        <v>0.0977520873469667</v>
      </c>
      <c r="D51" s="1">
        <v>0.257546563904443</v>
      </c>
      <c r="E51" s="1">
        <v>0.165446371226115</v>
      </c>
      <c r="G51" s="1" cm="1">
        <f t="array" ref="G51">SUM(ABS(_xlfn.ANCHORARRAY(B51)-B50:E50))</f>
        <v>6.21580564796886e-12</v>
      </c>
      <c r="I51" s="1" cm="1">
        <f t="array" ref="I51:L51">TRANSPOSE(MMULT($B$4:$E$7,TRANSPOSE(_xlfn.ANCHORARRAY(B51))))</f>
        <v>0.999999999993402</v>
      </c>
      <c r="J51">
        <v>1.49999999999345</v>
      </c>
      <c r="K51">
        <v>2.99999999999263</v>
      </c>
      <c r="L51">
        <v>1.99999999999292</v>
      </c>
    </row>
    <row r="52" spans="1:12">
      <c r="A52" s="1" t="s">
        <v>56</v>
      </c>
      <c r="B52" s="1" cm="1">
        <f t="array" ref="B52:E52">TRANSPOSE(-1*MMULT($K$8:$N$11,MMULT(($B$4:$E$7-$K$4:$N$7),TRANSPOSE(B51:E51))-$H$4:$H$7))</f>
        <v>0.0317919075146258</v>
      </c>
      <c r="C52" s="1">
        <v>0.0977520873476947</v>
      </c>
      <c r="D52" s="1">
        <v>0.25754656390518</v>
      </c>
      <c r="E52" s="1">
        <v>0.165446371227</v>
      </c>
      <c r="G52" s="1" cm="1">
        <f t="array" ref="G52">SUM(ABS(_xlfn.ANCHORARRAY(B52)-B51:E51))</f>
        <v>2.89999968483556e-12</v>
      </c>
      <c r="I52" s="1" cm="1">
        <f t="array" ref="I52:L52">TRANSPOSE(MMULT($B$4:$E$7,TRANSPOSE(_xlfn.ANCHORARRAY(B52))))</f>
        <v>1.00000000000308</v>
      </c>
      <c r="J52">
        <v>1.50000000000306</v>
      </c>
      <c r="K52">
        <v>3.00000000000344</v>
      </c>
      <c r="L52">
        <v>2.0000000000033</v>
      </c>
    </row>
    <row r="53" spans="1:12">
      <c r="A53" s="1" t="s">
        <v>57</v>
      </c>
      <c r="B53" s="1" cm="1">
        <f t="array" ref="B53:E53">TRANSPOSE(-1*MMULT($K$8:$N$11,MMULT(($B$4:$E$7-$K$4:$N$7),TRANSPOSE(B52:E52))-$H$4:$H$7))</f>
        <v>0.0317919075143693</v>
      </c>
      <c r="C53" s="1">
        <v>0.097752087347355</v>
      </c>
      <c r="D53" s="1">
        <v>0.257546563904836</v>
      </c>
      <c r="E53" s="1">
        <v>0.165446371226587</v>
      </c>
      <c r="G53" s="1" cm="1">
        <f t="array" ref="G53">SUM(ABS(_xlfn.ANCHORARRAY(B53)-B52:E52))</f>
        <v>1.35301492232287e-12</v>
      </c>
      <c r="I53" s="1" cm="1">
        <f t="array" ref="I53:L53">TRANSPOSE(MMULT($B$4:$E$7,TRANSPOSE(_xlfn.ANCHORARRAY(B53))))</f>
        <v>0.999999999998564</v>
      </c>
      <c r="J53">
        <v>1.49999999999857</v>
      </c>
      <c r="K53">
        <v>2.99999999999839</v>
      </c>
      <c r="L53">
        <v>1.99999999999846</v>
      </c>
    </row>
    <row r="54" spans="1:12">
      <c r="A54" s="1" t="s">
        <v>58</v>
      </c>
      <c r="B54" s="1" cm="1">
        <f t="array" ref="B54:E54">TRANSPOSE(-1*MMULT($K$8:$N$11,MMULT(($B$4:$E$7-$K$4:$N$7),TRANSPOSE(B53:E53))-$H$4:$H$7))</f>
        <v>0.0317919075144889</v>
      </c>
      <c r="C54" s="1">
        <v>0.0977520873475135</v>
      </c>
      <c r="D54" s="1">
        <v>0.257546563904996</v>
      </c>
      <c r="E54" s="1">
        <v>0.165446371226779</v>
      </c>
      <c r="G54" s="1" cm="1">
        <f t="array" ref="G54">SUM(ABS(_xlfn.ANCHORARRAY(B54)-B53:E53))</f>
        <v>6.31286689589672e-13</v>
      </c>
      <c r="I54" s="1" cm="1">
        <f t="array" ref="I54:L54">TRANSPOSE(MMULT($B$4:$E$7,TRANSPOSE(_xlfn.ANCHORARRAY(B54))))</f>
        <v>1.00000000000067</v>
      </c>
      <c r="J54">
        <v>1.50000000000067</v>
      </c>
      <c r="K54">
        <v>3.00000000000075</v>
      </c>
      <c r="L54">
        <v>2.00000000000072</v>
      </c>
    </row>
    <row r="55" spans="1:12">
      <c r="A55" s="1" t="s">
        <v>59</v>
      </c>
      <c r="B55" s="1" cm="1">
        <f t="array" ref="B55:E55">TRANSPOSE(-1*MMULT($K$8:$N$11,MMULT(($B$4:$E$7-$K$4:$N$7),TRANSPOSE(B54:E54))-$H$4:$H$7))</f>
        <v>0.0317919075144331</v>
      </c>
      <c r="C55" s="1">
        <v>0.0977520873474395</v>
      </c>
      <c r="D55" s="1">
        <v>0.257546563904922</v>
      </c>
      <c r="E55" s="1">
        <v>0.165446371226689</v>
      </c>
      <c r="G55" s="1" cm="1">
        <f t="array" ref="G55">SUM(ABS(_xlfn.ANCHORARRAY(B55)-B54:E54))</f>
        <v>2.9453522953915e-13</v>
      </c>
      <c r="I55" s="1" cm="1">
        <f t="array" ref="I55:L55">TRANSPOSE(MMULT($B$4:$E$7,TRANSPOSE(_xlfn.ANCHORARRAY(B55))))</f>
        <v>0.999999999999687</v>
      </c>
      <c r="J55">
        <v>1.49999999999969</v>
      </c>
      <c r="K55">
        <v>2.99999999999965</v>
      </c>
      <c r="L55">
        <v>1.99999999999966</v>
      </c>
    </row>
    <row r="56" spans="1:12">
      <c r="A56" s="1" t="s">
        <v>60</v>
      </c>
      <c r="B56" s="1" cm="1">
        <f t="array" ref="B56:E56">TRANSPOSE(-1*MMULT($K$8:$N$11,MMULT(($B$4:$E$7-$K$4:$N$7),TRANSPOSE(B55:E55))-$H$4:$H$7))</f>
        <v>0.0317919075144592</v>
      </c>
      <c r="C56" s="1">
        <v>0.097752087347474</v>
      </c>
      <c r="D56" s="1">
        <v>0.257546563904957</v>
      </c>
      <c r="E56" s="1">
        <v>0.165446371226731</v>
      </c>
      <c r="G56" s="1" cm="1">
        <f t="array" ref="G56">SUM(ABS(_xlfn.ANCHORARRAY(B56)-B55:E55))</f>
        <v>1.37410915979075e-13</v>
      </c>
      <c r="I56" s="1" cm="1">
        <f t="array" ref="I56:L56">TRANSPOSE(MMULT($B$4:$E$7,TRANSPOSE(_xlfn.ANCHORARRAY(B56))))</f>
        <v>1.00000000000015</v>
      </c>
      <c r="J56">
        <v>1.50000000000014</v>
      </c>
      <c r="K56">
        <v>3.00000000000016</v>
      </c>
      <c r="L56">
        <v>2.00000000000016</v>
      </c>
    </row>
    <row r="57" spans="1:12">
      <c r="A57" s="1" t="s">
        <v>61</v>
      </c>
      <c r="B57" s="1" cm="1">
        <f t="array" ref="B57:E57">TRANSPOSE(-1*MMULT($K$8:$N$11,MMULT(($B$4:$E$7-$K$4:$N$7),TRANSPOSE(B56:E56))-$H$4:$H$7))</f>
        <v>0.031791907514447</v>
      </c>
      <c r="C57" s="1">
        <v>0.0977520873474579</v>
      </c>
      <c r="D57" s="1">
        <v>0.25754656390494</v>
      </c>
      <c r="E57" s="1">
        <v>0.165446371226712</v>
      </c>
      <c r="G57" s="1" cm="1">
        <f t="array" ref="G57">SUM(ABS(_xlfn.ANCHORARRAY(B57)-B56:E56))</f>
        <v>6.40876240964872e-14</v>
      </c>
      <c r="I57" s="1" cm="1">
        <f t="array" ref="I57:L57">TRANSPOSE(MMULT($B$4:$E$7,TRANSPOSE(_xlfn.ANCHORARRAY(B57))))</f>
        <v>0.999999999999932</v>
      </c>
      <c r="J57">
        <v>1.49999999999993</v>
      </c>
      <c r="K57">
        <v>2.99999999999992</v>
      </c>
      <c r="L57">
        <v>1.99999999999993</v>
      </c>
    </row>
    <row r="58" spans="1:12">
      <c r="A58" s="1" t="s">
        <v>62</v>
      </c>
      <c r="B58" s="1" cm="1">
        <f t="array" ref="B58:E58">TRANSPOSE(-1*MMULT($K$8:$N$11,MMULT(($B$4:$E$7-$K$4:$N$7),TRANSPOSE(B57:E57))-$H$4:$H$7))</f>
        <v>0.0317919075144527</v>
      </c>
      <c r="C58" s="1">
        <v>0.0977520873474654</v>
      </c>
      <c r="D58" s="1">
        <v>0.257546563904948</v>
      </c>
      <c r="E58" s="1">
        <v>0.165446371226721</v>
      </c>
      <c r="G58" s="1" cm="1">
        <f t="array" ref="G58">SUM(ABS(_xlfn.ANCHORARRAY(B58)-B57:E57))</f>
        <v>2.99135716197441e-14</v>
      </c>
      <c r="I58" s="1" cm="1">
        <f t="array" ref="I58:L58">TRANSPOSE(MMULT($B$4:$E$7,TRANSPOSE(_xlfn.ANCHORARRAY(B58))))</f>
        <v>1.00000000000003</v>
      </c>
      <c r="J58">
        <v>1.50000000000003</v>
      </c>
      <c r="K58">
        <v>3.00000000000004</v>
      </c>
      <c r="L58">
        <v>2.00000000000003</v>
      </c>
    </row>
    <row r="59" spans="1:12">
      <c r="A59" s="1" t="s">
        <v>63</v>
      </c>
      <c r="B59" s="1" cm="1">
        <f t="array" ref="B59:E59">TRANSPOSE(-1*MMULT($K$8:$N$11,MMULT(($B$4:$E$7-$K$4:$N$7),TRANSPOSE(B58:E58))-$H$4:$H$7))</f>
        <v>0.03179190751445</v>
      </c>
      <c r="C59" s="1">
        <v>0.0977520873474619</v>
      </c>
      <c r="D59" s="1">
        <v>0.257546563904944</v>
      </c>
      <c r="E59" s="1">
        <v>0.165446371226717</v>
      </c>
      <c r="G59" s="1" cm="1">
        <f t="array" ref="G59">SUM(ABS(_xlfn.ANCHORARRAY(B59)-B58:E58))</f>
        <v>1.39679934285653e-14</v>
      </c>
      <c r="I59" s="1" cm="1">
        <f t="array" ref="I59:L59">TRANSPOSE(MMULT($B$4:$E$7,TRANSPOSE(_xlfn.ANCHORARRAY(B59))))</f>
        <v>0.999999999999985</v>
      </c>
      <c r="J59">
        <v>1.49999999999999</v>
      </c>
      <c r="K59">
        <v>2.99999999999998</v>
      </c>
      <c r="L59">
        <v>1.99999999999998</v>
      </c>
    </row>
    <row r="60" spans="1:12">
      <c r="A60" s="1" t="s">
        <v>64</v>
      </c>
      <c r="B60" s="1" cm="1">
        <f t="array" ref="B60:E60">TRANSPOSE(-1*MMULT($K$8:$N$11,MMULT(($B$4:$E$7-$K$4:$N$7),TRANSPOSE(B59:E59))-$H$4:$H$7))</f>
        <v>0.0317919075144513</v>
      </c>
      <c r="C60" s="1">
        <v>0.0977520873474636</v>
      </c>
      <c r="D60" s="1">
        <v>0.257546563904946</v>
      </c>
      <c r="E60" s="1">
        <v>0.165446371226719</v>
      </c>
      <c r="G60" s="1" cm="1">
        <f t="array" ref="G60">SUM(ABS(_xlfn.ANCHORARRAY(B60)-B59:E59))</f>
        <v>6.5294991635767e-15</v>
      </c>
      <c r="I60" s="1" cm="1">
        <f t="array" ref="I60:L60">TRANSPOSE(MMULT($B$4:$E$7,TRANSPOSE(_xlfn.ANCHORARRAY(B60))))</f>
        <v>1.00000000000001</v>
      </c>
      <c r="J60">
        <v>1.50000000000001</v>
      </c>
      <c r="K60">
        <v>3.00000000000001</v>
      </c>
      <c r="L60">
        <v>2.00000000000001</v>
      </c>
    </row>
    <row r="61" spans="1:12">
      <c r="A61" s="1" t="s">
        <v>65</v>
      </c>
      <c r="B61" s="1" cm="1">
        <f t="array" ref="B61:E61">TRANSPOSE(-1*MMULT($K$8:$N$11,MMULT(($B$4:$E$7-$K$4:$N$7),TRANSPOSE(B60:E60))-$H$4:$H$7))</f>
        <v>0.0317919075144507</v>
      </c>
      <c r="C61" s="1">
        <v>0.0977520873474628</v>
      </c>
      <c r="D61" s="1">
        <v>0.257546563904945</v>
      </c>
      <c r="E61" s="1">
        <v>0.165446371226718</v>
      </c>
      <c r="G61" s="1" cm="1">
        <f t="array" ref="G61">SUM(ABS(_xlfn.ANCHORARRAY(B61)-B60:E60))</f>
        <v>3.05311331771918e-15</v>
      </c>
      <c r="I61" s="1" cm="1">
        <f t="array" ref="I61:L61">TRANSPOSE(MMULT($B$4:$E$7,TRANSPOSE(_xlfn.ANCHORARRAY(B61))))</f>
        <v>0.999999999999997</v>
      </c>
      <c r="J61">
        <v>1.5</v>
      </c>
      <c r="K61">
        <v>3</v>
      </c>
      <c r="L61">
        <v>2</v>
      </c>
    </row>
    <row r="62" spans="1:12">
      <c r="A62" s="1" t="s">
        <v>66</v>
      </c>
      <c r="B62" s="1" cm="1">
        <f t="array" ref="B62:E62">TRANSPOSE(-1*MMULT($K$8:$N$11,MMULT(($B$4:$E$7-$K$4:$N$7),TRANSPOSE(B61:E61))-$H$4:$H$7))</f>
        <v>0.0317919075144509</v>
      </c>
      <c r="C62" s="1">
        <v>0.0977520873474632</v>
      </c>
      <c r="D62" s="1">
        <v>0.257546563904946</v>
      </c>
      <c r="E62" s="1">
        <v>0.165446371226718</v>
      </c>
      <c r="G62" s="1" cm="1">
        <f t="array" ref="G62">SUM(ABS(_xlfn.ANCHORARRAY(B62)-B61:E61))</f>
        <v>1.45716771982052e-15</v>
      </c>
      <c r="I62" s="1" cm="1">
        <f t="array" ref="I62:L62">TRANSPOSE(MMULT($B$4:$E$7,TRANSPOSE(_xlfn.ANCHORARRAY(B62))))</f>
        <v>1</v>
      </c>
      <c r="J62">
        <v>1.5</v>
      </c>
      <c r="K62">
        <v>3</v>
      </c>
      <c r="L62">
        <v>2</v>
      </c>
    </row>
    <row r="63" spans="1:12">
      <c r="A63" s="1" t="s">
        <v>67</v>
      </c>
      <c r="B63" s="1" cm="1">
        <f t="array" ref="B63:E63">TRANSPOSE(-1*MMULT($K$8:$N$11,MMULT(($B$4:$E$7-$K$4:$N$7),TRANSPOSE(B62:E62))-$H$4:$H$7))</f>
        <v>0.0317919075144508</v>
      </c>
      <c r="C63" s="1">
        <v>0.097752087347463</v>
      </c>
      <c r="D63" s="1">
        <v>0.257546563904945</v>
      </c>
      <c r="E63" s="1">
        <v>0.165446371226718</v>
      </c>
      <c r="G63" s="1" cm="1">
        <f t="array" ref="G63">SUM(ABS(_xlfn.ANCHORARRAY(B63)-B62:E62))</f>
        <v>5.27355936696949e-16</v>
      </c>
      <c r="I63" s="1" cm="1">
        <f t="array" ref="I63:L63">TRANSPOSE(MMULT($B$4:$E$7,TRANSPOSE(_xlfn.ANCHORARRAY(B63))))</f>
        <v>0.999999999999999</v>
      </c>
      <c r="J63">
        <v>1.5</v>
      </c>
      <c r="K63">
        <v>3</v>
      </c>
      <c r="L63">
        <v>2</v>
      </c>
    </row>
    <row r="64" spans="1:12">
      <c r="A64" s="1" t="s">
        <v>68</v>
      </c>
      <c r="B64" s="1" cm="1">
        <f t="array" ref="B64:E64">TRANSPOSE(-1*MMULT($K$8:$N$11,MMULT(($B$4:$E$7-$K$4:$N$7),TRANSPOSE(B63:E63))-$H$4:$H$7))</f>
        <v>0.0317919075144509</v>
      </c>
      <c r="C64" s="1">
        <v>0.0977520873474631</v>
      </c>
      <c r="D64" s="1">
        <v>0.257546563904945</v>
      </c>
      <c r="E64" s="1">
        <v>0.165446371226718</v>
      </c>
      <c r="G64" s="1" cm="1">
        <f t="array" ref="G64">SUM(ABS(_xlfn.ANCHORARRAY(B64)-B63:E63))</f>
        <v>1.52655665885959e-16</v>
      </c>
      <c r="I64" s="1" cm="1">
        <f t="array" ref="I64:L64">TRANSPOSE(MMULT($B$4:$E$7,TRANSPOSE(_xlfn.ANCHORARRAY(B64))))</f>
        <v>1</v>
      </c>
      <c r="J64">
        <v>1.5</v>
      </c>
      <c r="K64">
        <v>3</v>
      </c>
      <c r="L64">
        <v>2</v>
      </c>
    </row>
    <row r="65" spans="1:12">
      <c r="A65" s="1" t="s">
        <v>69</v>
      </c>
      <c r="B65" s="1" cm="1">
        <f t="array" ref="B65:E65">TRANSPOSE(-1*MMULT($K$8:$N$11,MMULT(($B$4:$E$7-$K$4:$N$7),TRANSPOSE(B64:E64))-$H$4:$H$7))</f>
        <v>0.0317919075144509</v>
      </c>
      <c r="C65" s="1">
        <v>0.097752087347463</v>
      </c>
      <c r="D65" s="1">
        <v>0.257546563904945</v>
      </c>
      <c r="E65" s="1">
        <v>0.165446371226718</v>
      </c>
      <c r="G65" s="1" cm="1">
        <f t="array" ref="G65">SUM(ABS(_xlfn.ANCHORARRAY(B65)-B64:E64))</f>
        <v>0</v>
      </c>
      <c r="I65" s="1" cm="1">
        <f t="array" ref="I65:L65">TRANSPOSE(MMULT($B$4:$E$7,TRANSPOSE(_xlfn.ANCHORARRAY(B65))))</f>
        <v>1</v>
      </c>
      <c r="J65">
        <v>1.5</v>
      </c>
      <c r="K65">
        <v>3</v>
      </c>
      <c r="L65">
        <v>2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5" progId="Equation.DSMT4" r:id="rId3">
          <objectPr defaultSize="0" r:id="rId4">
            <anchor moveWithCells="1">
              <from>
                <xdr:col>0</xdr:col>
                <xdr:colOff>1101725</xdr:colOff>
                <xdr:row>10</xdr:row>
                <xdr:rowOff>75565</xdr:rowOff>
              </from>
              <to>
                <xdr:col>4</xdr:col>
                <xdr:colOff>864870</xdr:colOff>
                <xdr:row>12</xdr:row>
                <xdr:rowOff>18415</xdr:rowOff>
              </to>
            </anchor>
          </objectPr>
        </oleObject>
      </mc:Choice>
      <mc:Fallback>
        <oleObject shapeId="1025" progId="Equation.DSMT4" r:id="rId3"/>
      </mc:Fallback>
    </mc:AlternateContent>
    <mc:AlternateContent xmlns:mc="http://schemas.openxmlformats.org/markup-compatibility/2006">
      <mc:Choice Requires="x14">
        <oleObject shapeId="1026" progId="Equation.DSMT4" r:id="rId5">
          <objectPr defaultSize="0" r:id="rId6">
            <anchor moveWithCells="1">
              <from>
                <xdr:col>1</xdr:col>
                <xdr:colOff>57150</xdr:colOff>
                <xdr:row>0</xdr:row>
                <xdr:rowOff>67310</xdr:rowOff>
              </from>
              <to>
                <xdr:col>1</xdr:col>
                <xdr:colOff>908050</xdr:colOff>
                <xdr:row>2</xdr:row>
                <xdr:rowOff>57150</xdr:rowOff>
              </to>
            </anchor>
          </objectPr>
        </oleObject>
      </mc:Choice>
      <mc:Fallback>
        <oleObject shapeId="1026" progId="Equation.DSMT4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65"/>
  <sheetViews>
    <sheetView tabSelected="1" topLeftCell="A17" workbookViewId="0">
      <selection activeCell="G67" sqref="G67"/>
    </sheetView>
  </sheetViews>
  <sheetFormatPr defaultColWidth="9" defaultRowHeight="16.8"/>
  <cols>
    <col min="1" max="1" width="14.5" customWidth="1"/>
    <col min="2" max="2" width="13.75"/>
    <col min="3" max="3" width="14.0769230769231"/>
    <col min="4" max="5" width="13.75"/>
    <col min="7" max="7" width="12.9230769230769"/>
    <col min="9" max="10" width="14.0769230769231"/>
    <col min="11" max="15" width="13.75"/>
  </cols>
  <sheetData>
    <row r="2" spans="1:14">
      <c r="A2" t="s">
        <v>0</v>
      </c>
    </row>
    <row r="4" spans="1:14">
      <c r="B4" s="2">
        <v>12</v>
      </c>
      <c r="C4" s="3">
        <v>2</v>
      </c>
      <c r="D4" s="3">
        <v>1</v>
      </c>
      <c r="E4" s="3">
        <v>1</v>
      </c>
      <c r="H4" s="5">
        <v>1</v>
      </c>
      <c r="K4">
        <v>12</v>
      </c>
      <c r="L4">
        <v>0</v>
      </c>
      <c r="M4">
        <v>0</v>
      </c>
      <c r="N4">
        <v>0</v>
      </c>
    </row>
    <row r="5" spans="1:14">
      <c r="B5" s="9">
        <v>1</v>
      </c>
      <c r="C5" s="10">
        <v>9</v>
      </c>
      <c r="D5" s="10">
        <v>1</v>
      </c>
      <c r="E5" s="10">
        <v>2</v>
      </c>
      <c r="H5" s="12">
        <v>1.5</v>
      </c>
      <c r="K5">
        <v>0</v>
      </c>
      <c r="L5">
        <v>9</v>
      </c>
      <c r="M5">
        <v>0</v>
      </c>
      <c r="N5">
        <v>0</v>
      </c>
    </row>
    <row r="6" spans="1:14">
      <c r="A6" s="1" t="s">
        <v>2</v>
      </c>
      <c r="B6" s="9">
        <v>2</v>
      </c>
      <c r="C6" s="10">
        <v>2</v>
      </c>
      <c r="D6" s="10">
        <v>10</v>
      </c>
      <c r="E6" s="10">
        <v>1</v>
      </c>
      <c r="G6" s="15" t="s">
        <v>3</v>
      </c>
      <c r="H6" s="12">
        <v>3</v>
      </c>
      <c r="J6" t="s">
        <v>4</v>
      </c>
      <c r="K6">
        <v>0</v>
      </c>
      <c r="L6">
        <v>0</v>
      </c>
      <c r="M6">
        <v>10</v>
      </c>
      <c r="N6">
        <v>0</v>
      </c>
    </row>
    <row r="7" spans="1:14">
      <c r="B7" s="9">
        <v>2</v>
      </c>
      <c r="C7" s="10">
        <v>1</v>
      </c>
      <c r="D7" s="10">
        <v>2</v>
      </c>
      <c r="E7" s="10">
        <v>8</v>
      </c>
      <c r="H7" s="12">
        <v>2</v>
      </c>
      <c r="K7">
        <v>0</v>
      </c>
      <c r="L7">
        <v>0</v>
      </c>
      <c r="M7">
        <v>0</v>
      </c>
      <c r="N7">
        <v>8</v>
      </c>
    </row>
    <row r="8" spans="1:14">
      <c r="B8" s="20"/>
      <c r="C8" s="21"/>
      <c r="D8" s="21"/>
      <c r="E8" s="21"/>
      <c r="H8" s="19"/>
      <c r="J8" t="s">
        <v>5</v>
      </c>
      <c r="K8" cm="1">
        <f t="array" ref="K8:N11">MINVERSE(K4:N7)</f>
        <v>0.0833333333333333</v>
      </c>
      <c r="L8">
        <v>0</v>
      </c>
      <c r="M8">
        <v>0</v>
      </c>
      <c r="N8">
        <v>0</v>
      </c>
    </row>
    <row r="9" spans="1:14">
      <c r="K9">
        <v>0</v>
      </c>
      <c r="L9">
        <v>0.111111111111111</v>
      </c>
      <c r="M9">
        <v>0</v>
      </c>
      <c r="N9">
        <v>0</v>
      </c>
    </row>
    <row r="10" spans="1:14">
      <c r="K10">
        <v>0</v>
      </c>
      <c r="L10">
        <v>0</v>
      </c>
      <c r="M10">
        <v>0.1</v>
      </c>
      <c r="N10">
        <v>0</v>
      </c>
    </row>
    <row r="11" customFormat="1" spans="1:14">
      <c r="A11" s="23" t="s">
        <v>70</v>
      </c>
      <c r="B11" s="24" t="s">
        <v>71</v>
      </c>
      <c r="K11">
        <v>0</v>
      </c>
      <c r="L11">
        <v>0</v>
      </c>
      <c r="M11">
        <v>0</v>
      </c>
      <c r="N11">
        <v>0.125</v>
      </c>
    </row>
    <row r="12" ht="42" customHeight="1" spans="1:14">
      <c r="A12" t="s">
        <v>6</v>
      </c>
    </row>
    <row r="13" ht="17" spans="1:14">
      <c r="A13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G13" s="25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</row>
    <row r="14" spans="1:14">
      <c r="A14" s="1" t="s">
        <v>18</v>
      </c>
      <c r="B14" s="1">
        <v>1</v>
      </c>
      <c r="C14" s="1">
        <v>1</v>
      </c>
      <c r="D14" s="1">
        <v>1</v>
      </c>
      <c r="E14" s="1">
        <v>1</v>
      </c>
      <c r="G14" s="25"/>
      <c r="I14" s="1">
        <f>$B$4*B14+$C$4*C14+$D$4*D14+$E$4*E14</f>
        <v>16</v>
      </c>
      <c r="J14">
        <f>$B$5*B14+$C$5*C14+$D$5*D14+$E$5*E14</f>
        <v>13</v>
      </c>
      <c r="K14">
        <f>$B$6*B14+$C$6*C14+$D$6*D14+$E$6*E14</f>
        <v>15</v>
      </c>
      <c r="L14">
        <f>$B$7*B14+$C$7*C14+$D$7*D14+$E$7*E14</f>
        <v>13</v>
      </c>
    </row>
    <row r="15" spans="1:14">
      <c r="A15" s="1" t="s">
        <v>19</v>
      </c>
      <c r="B15" s="1" cm="1">
        <f t="array" ref="B15">INDEX(-1*MMULT(_xlfn.ANCHORARRAY($K$8),(MMULT($B$4:$E$7-$K$4:$N$7,TRANSPOSE(B14:E14))-$H$4:$H$7)),1,1)</f>
        <v>-0.25</v>
      </c>
      <c r="C15" s="1" cm="1">
        <f t="array" ref="C15">INDEX(-1*MMULT(_xlfn.ANCHORARRAY($K$8),(MMULT($B$4:$E$7-$K$4:$N$7,TRANSPOSE(_xlfn.HSTACK(B15,C14:E14)))-$H$4:$H$7)),2,1)</f>
        <v>-0.138888888888889</v>
      </c>
      <c r="D15" s="1" cm="1">
        <f t="array" ref="D15">INDEX(-1*MMULT(_xlfn.ANCHORARRAY($K$8),(MMULT($B$4:$E$7-$K$4:$N$7,TRANSPOSE(_xlfn.HSTACK(B15:C15,D14:E14)))-$H$4:$H$7)),3,1)</f>
        <v>0.277777777777778</v>
      </c>
      <c r="E15" s="1" cm="1">
        <f t="array" ref="E15">INDEX(-1*MMULT(_xlfn.ANCHORARRAY($K$8),(MMULT($B$4:$E$7-$K$4:$N$7,TRANSPOSE(_xlfn.HSTACK(B15:D15,E14)))-$H$4:$H$7)),4,1)</f>
        <v>0.260416666666667</v>
      </c>
      <c r="G15" s="1" cm="1">
        <f t="array" ref="G15">SUM(ABS(B15:E15-B14:E14))</f>
        <v>3.85069444444444</v>
      </c>
      <c r="I15" cm="1">
        <f t="array" ref="I15:L15">TRANSPOSE(MMULT($B$4:$E$7,TRANSPOSE(B15:E15)))</f>
        <v>-2.73958333333333</v>
      </c>
      <c r="J15">
        <v>-0.701388888888889</v>
      </c>
      <c r="K15">
        <v>2.26041666666667</v>
      </c>
      <c r="L15">
        <v>2</v>
      </c>
    </row>
    <row r="16" spans="1:14">
      <c r="A16" s="1" t="s">
        <v>20</v>
      </c>
      <c r="B16" s="1" cm="1">
        <f t="array" ref="B16">INDEX(-1*MMULT(_xlfn.ANCHORARRAY($K$8),(MMULT($B$4:$E$7-$K$4:$N$7,TRANSPOSE(B15:E15))-$H$4:$H$7)),1,1)</f>
        <v>0.0616319444444444</v>
      </c>
      <c r="C16" s="1" cm="1">
        <f t="array" ref="C16">INDEX(-1*MMULT(_xlfn.ANCHORARRAY($K$8),(MMULT($B$4:$E$7-$K$4:$N$7,TRANSPOSE(_xlfn.HSTACK(B16,C15:E15)))-$H$4:$H$7)),2,1)</f>
        <v>0.0710841049382716</v>
      </c>
      <c r="D16" s="1" cm="1">
        <f t="array" ref="D16">INDEX(-1*MMULT(_xlfn.ANCHORARRAY($K$8),(MMULT($B$4:$E$7-$K$4:$N$7,TRANSPOSE(_xlfn.HSTACK(B16:C16,D15:E15)))-$H$4:$H$7)),3,1)</f>
        <v>0.24741512345679</v>
      </c>
      <c r="E16" s="1" cm="1">
        <f t="array" ref="E16">INDEX(-1*MMULT(_xlfn.ANCHORARRAY($K$8),(MMULT($B$4:$E$7-$K$4:$N$7,TRANSPOSE(_xlfn.HSTACK(B16:D16,E15)))-$H$4:$H$7)),4,1)</f>
        <v>0.163852719907407</v>
      </c>
      <c r="G16" s="1" cm="1">
        <f t="array" ref="G16">SUM(ABS(B16:E16-B15:E15))</f>
        <v>0.648531539351852</v>
      </c>
      <c r="I16" cm="1">
        <f t="array" ref="I16:L16">TRANSPOSE(MMULT($B$4:$E$7,TRANSPOSE(B16:E16)))</f>
        <v>1.29301938657407</v>
      </c>
      <c r="J16">
        <v>1.27650945216049</v>
      </c>
      <c r="K16">
        <v>2.90343605324074</v>
      </c>
      <c r="L16">
        <v>2</v>
      </c>
    </row>
    <row r="17" spans="1:12">
      <c r="A17" s="1" t="s">
        <v>21</v>
      </c>
      <c r="B17" s="1" cm="1">
        <f t="array" ref="B17">INDEX(-1*MMULT(_xlfn.ANCHORARRAY($K$8),(MMULT($B$4:$E$7-$K$4:$N$7,TRANSPOSE(B16:E16))-$H$4:$H$7)),1,1)</f>
        <v>0.0372136622299383</v>
      </c>
      <c r="C17" s="1" cm="1">
        <f t="array" ref="C17">INDEX(-1*MMULT(_xlfn.ANCHORARRAY($K$8),(MMULT($B$4:$E$7-$K$4:$N$7,TRANSPOSE(_xlfn.HSTACK(B17,C16:E16)))-$H$4:$H$7)),2,1)</f>
        <v>0.0986295304998285</v>
      </c>
      <c r="D17" s="1" cm="1">
        <f t="array" ref="D17">INDEX(-1*MMULT(_xlfn.ANCHORARRAY($K$8),(MMULT($B$4:$E$7-$K$4:$N$7,TRANSPOSE(_xlfn.HSTACK(B17:C17,D16:E16)))-$H$4:$H$7)),3,1)</f>
        <v>0.256446089463306</v>
      </c>
      <c r="E17" s="1" cm="1">
        <f t="array" ref="E17">INDEX(-1*MMULT(_xlfn.ANCHORARRAY($K$8),(MMULT($B$4:$E$7-$K$4:$N$7,TRANSPOSE(_xlfn.HSTACK(B17:D17,E16)))-$H$4:$H$7)),4,1)</f>
        <v>0.16425637076421</v>
      </c>
      <c r="G17" s="1" cm="1">
        <f t="array" ref="G17">SUM(ABS(B17:E17-B16:E16))</f>
        <v>0.0613983246393819</v>
      </c>
      <c r="I17" cm="1">
        <f t="array" ref="I17:L17">TRANSPOSE(MMULT($B$4:$E$7,TRANSPOSE(B17:E17)))</f>
        <v>1.06452546798643</v>
      </c>
      <c r="J17">
        <v>1.50983826772012</v>
      </c>
      <c r="K17">
        <v>3.0004036508568</v>
      </c>
      <c r="L17">
        <v>2</v>
      </c>
    </row>
    <row r="18" spans="1:12">
      <c r="A18" s="1" t="s">
        <v>22</v>
      </c>
      <c r="B18" s="1" cm="1">
        <f t="array" ref="B18">INDEX(-1*MMULT(_xlfn.ANCHORARRAY($K$8),(MMULT($B$4:$E$7-$K$4:$N$7,TRANSPOSE(B17:E17))-$H$4:$H$7)),1,1)</f>
        <v>0.0318365398977355</v>
      </c>
      <c r="C18" s="1" cm="1">
        <f t="array" ref="C18">INDEX(-1*MMULT(_xlfn.ANCHORARRAY($K$8),(MMULT($B$4:$E$7-$K$4:$N$7,TRANSPOSE(_xlfn.HSTACK(B18,C17:E17)))-$H$4:$H$7)),2,1)</f>
        <v>0.0981338476789486</v>
      </c>
      <c r="D18" s="1" cm="1">
        <f t="array" ref="D18">INDEX(-1*MMULT(_xlfn.ANCHORARRAY($K$8),(MMULT($B$4:$E$7-$K$4:$N$7,TRANSPOSE(_xlfn.HSTACK(B18:C18,D17:E17)))-$H$4:$H$7)),3,1)</f>
        <v>0.257580285408242</v>
      </c>
      <c r="E18" s="1" cm="1">
        <f t="array" ref="E18">INDEX(-1*MMULT(_xlfn.ANCHORARRAY($K$8),(MMULT($B$4:$E$7-$K$4:$N$7,TRANSPOSE(_xlfn.HSTACK(B18:D18,E17)))-$H$4:$H$7)),4,1)</f>
        <v>0.165379062713637</v>
      </c>
      <c r="G18" s="1" cm="1">
        <f t="array" ref="G18">SUM(ABS(B18:E18-B17:E17))</f>
        <v>0.00812969304744544</v>
      </c>
      <c r="I18" cm="1">
        <f t="array" ref="I18:L18">TRANSPOSE(MMULT($B$4:$E$7,TRANSPOSE(B18:E18)))</f>
        <v>1.0012655222526</v>
      </c>
      <c r="J18">
        <v>1.50337957984379</v>
      </c>
      <c r="K18">
        <v>3.00112269194943</v>
      </c>
      <c r="L18">
        <v>2</v>
      </c>
    </row>
    <row r="19" spans="1:12">
      <c r="A19" s="1" t="s">
        <v>23</v>
      </c>
      <c r="B19" s="1" cm="1">
        <f t="array" ref="B19">INDEX(-1*MMULT(_xlfn.ANCHORARRAY($K$8),(MMULT($B$4:$E$7-$K$4:$N$7,TRANSPOSE(B18:E18))-$H$4:$H$7)),1,1)</f>
        <v>0.0317310797100186</v>
      </c>
      <c r="C19" s="1" cm="1">
        <f t="array" ref="C19">INDEX(-1*MMULT(_xlfn.ANCHORARRAY($K$8),(MMULT($B$4:$E$7-$K$4:$N$7,TRANSPOSE(_xlfn.HSTACK(B19,C18:E18)))-$H$4:$H$7)),2,1)</f>
        <v>0.0977700566060517</v>
      </c>
      <c r="D19" s="1" cm="1">
        <f t="array" ref="D19">INDEX(-1*MMULT(_xlfn.ANCHORARRAY($K$8),(MMULT($B$4:$E$7-$K$4:$N$7,TRANSPOSE(_xlfn.HSTACK(B19:C19,D18:E18)))-$H$4:$H$7)),3,1)</f>
        <v>0.257561866465422</v>
      </c>
      <c r="E19" s="1" cm="1">
        <f t="array" ref="E19">INDEX(-1*MMULT(_xlfn.ANCHORARRAY($K$8),(MMULT($B$4:$E$7-$K$4:$N$7,TRANSPOSE(_xlfn.HSTACK(B19:D19,E18)))-$H$4:$H$7)),4,1)</f>
        <v>0.165455506380383</v>
      </c>
      <c r="G19" s="1" cm="1">
        <f t="array" ref="G19">SUM(ABS(B19:E19-B18:E18))</f>
        <v>0.000564113870180079</v>
      </c>
      <c r="I19" cm="1">
        <f t="array" ref="I19:L19">TRANSPOSE(MMULT($B$4:$E$7,TRANSPOSE(B19:E19)))</f>
        <v>0.999330442578132</v>
      </c>
      <c r="J19">
        <v>1.50013446839067</v>
      </c>
      <c r="K19">
        <v>3.00007644366675</v>
      </c>
      <c r="L19">
        <v>2</v>
      </c>
    </row>
    <row r="20" spans="1:12">
      <c r="A20" s="1" t="s">
        <v>24</v>
      </c>
      <c r="B20" s="1" cm="1">
        <f t="array" ref="B20">INDEX(-1*MMULT(_xlfn.ANCHORARRAY($K$8),(MMULT($B$4:$E$7-$K$4:$N$7,TRANSPOSE(B19:E19))-$H$4:$H$7)),1,1)</f>
        <v>0.0317868761618409</v>
      </c>
      <c r="C20" s="1" cm="1">
        <f t="array" ref="C20">INDEX(-1*MMULT(_xlfn.ANCHORARRAY($K$8),(MMULT($B$4:$E$7-$K$4:$N$7,TRANSPOSE(_xlfn.HSTACK(B20,C19:E19)))-$H$4:$H$7)),2,1)</f>
        <v>0.0977489160679967</v>
      </c>
      <c r="D20" s="1" cm="1">
        <f t="array" ref="D20">INDEX(-1*MMULT(_xlfn.ANCHORARRAY($K$8),(MMULT($B$4:$E$7-$K$4:$N$7,TRANSPOSE(_xlfn.HSTACK(B20:C20,D19:E19)))-$H$4:$H$7)),3,1)</f>
        <v>0.257547290915994</v>
      </c>
      <c r="E20" s="1" cm="1">
        <f t="array" ref="E20">INDEX(-1*MMULT(_xlfn.ANCHORARRAY($K$8),(MMULT($B$4:$E$7-$K$4:$N$7,TRANSPOSE(_xlfn.HSTACK(B20:D20,E19)))-$H$4:$H$7)),4,1)</f>
        <v>0.165447843722042</v>
      </c>
      <c r="G20" s="1" cm="1">
        <f t="array" ref="G20">SUM(ABS(B20:E20-B19:E19))</f>
        <v>9.91751976470445e-5</v>
      </c>
      <c r="I20" cm="1">
        <f t="array" ref="I20:L20">TRANSPOSE(MMULT($B$4:$E$7,TRANSPOSE(B20:E20)))</f>
        <v>0.99993548071612</v>
      </c>
      <c r="J20">
        <v>1.49997009913389</v>
      </c>
      <c r="K20">
        <v>2.99999233734166</v>
      </c>
      <c r="L20">
        <v>2</v>
      </c>
    </row>
    <row r="21" spans="1:12">
      <c r="A21" s="1" t="s">
        <v>25</v>
      </c>
      <c r="B21" s="1" cm="1">
        <f t="array" ref="B21">INDEX(-1*MMULT(_xlfn.ANCHORARRAY($K$8),(MMULT($B$4:$E$7-$K$4:$N$7,TRANSPOSE(B20:E20))-$H$4:$H$7)),1,1)</f>
        <v>0.0317922527688309</v>
      </c>
      <c r="C21" s="1" cm="1">
        <f t="array" ref="C21">INDEX(-1*MMULT(_xlfn.ANCHORARRAY($K$8),(MMULT($B$4:$E$7-$K$4:$N$7,TRANSPOSE(_xlfn.HSTACK(B21,C20:E20)))-$H$4:$H$7)),2,1)</f>
        <v>0.0977516409856768</v>
      </c>
      <c r="D21" s="1" cm="1">
        <f t="array" ref="D21">INDEX(-1*MMULT(_xlfn.ANCHORARRAY($K$8),(MMULT($B$4:$E$7-$K$4:$N$7,TRANSPOSE(_xlfn.HSTACK(B21:C21,D20:E20)))-$H$4:$H$7)),3,1)</f>
        <v>0.257546436876894</v>
      </c>
      <c r="E21" s="1" cm="1">
        <f t="array" ref="E21">INDEX(-1*MMULT(_xlfn.ANCHORARRAY($K$8),(MMULT($B$4:$E$7-$K$4:$N$7,TRANSPOSE(_xlfn.HSTACK(B21:D21,E20)))-$H$4:$H$7)),4,1)</f>
        <v>0.165446372465359</v>
      </c>
      <c r="G21" s="1" cm="1">
        <f t="array" ref="G21">SUM(ABS(B21:E21-B20:E20))</f>
        <v>1.04268204525679e-5</v>
      </c>
      <c r="I21" cm="1">
        <f t="array" ref="I21:L21">TRANSPOSE(MMULT($B$4:$E$7,TRANSPOSE(B21:E21)))</f>
        <v>1.00000312453958</v>
      </c>
      <c r="J21">
        <v>1.49999620344753</v>
      </c>
      <c r="K21">
        <v>2.99999852874332</v>
      </c>
      <c r="L21">
        <v>2</v>
      </c>
    </row>
    <row r="22" spans="1:12">
      <c r="A22" s="1" t="s">
        <v>26</v>
      </c>
      <c r="B22" s="1" cm="1">
        <f t="array" ref="B22">INDEX(-1*MMULT(_xlfn.ANCHORARRAY($K$8),(MMULT($B$4:$E$7-$K$4:$N$7,TRANSPOSE(B21:E21))-$H$4:$H$7)),1,1)</f>
        <v>0.0317919923905327</v>
      </c>
      <c r="C22" s="1" cm="1">
        <f t="array" ref="C22">INDEX(-1*MMULT(_xlfn.ANCHORARRAY($K$8),(MMULT($B$4:$E$7-$K$4:$N$7,TRANSPOSE(_xlfn.HSTACK(B22,C21:E21)))-$H$4:$H$7)),2,1)</f>
        <v>0.0977520917557616</v>
      </c>
      <c r="D22" s="1" cm="1">
        <f t="array" ref="D22">INDEX(-1*MMULT(_xlfn.ANCHORARRAY($K$8),(MMULT($B$4:$E$7-$K$4:$N$7,TRANSPOSE(_xlfn.HSTACK(B22:C22,D21:E21)))-$H$4:$H$7)),3,1)</f>
        <v>0.257546545924205</v>
      </c>
      <c r="E22" s="1" cm="1">
        <f t="array" ref="E22">INDEX(-1*MMULT(_xlfn.ANCHORARRAY($K$8),(MMULT($B$4:$E$7-$K$4:$N$7,TRANSPOSE(_xlfn.HSTACK(B22:D22,E21)))-$H$4:$H$7)),4,1)</f>
        <v>0.165446353951845</v>
      </c>
      <c r="G22" s="1" cm="1">
        <f t="array" ref="G22">SUM(ABS(B22:E22-B21:E21))</f>
        <v>8.38709207688637e-7</v>
      </c>
      <c r="I22" cm="1">
        <f t="array" ref="I22:L22">TRANSPOSE(MMULT($B$4:$E$7,TRANSPOSE(B22:E22)))</f>
        <v>1.00000099207397</v>
      </c>
      <c r="J22">
        <v>1.50000007202028</v>
      </c>
      <c r="K22">
        <v>2.99999998148649</v>
      </c>
      <c r="L22">
        <v>2</v>
      </c>
    </row>
    <row r="23" spans="1:12">
      <c r="A23" s="1" t="s">
        <v>27</v>
      </c>
      <c r="B23" s="1" cm="1">
        <f t="array" ref="B23">INDEX(-1*MMULT(_xlfn.ANCHORARRAY($K$8),(MMULT($B$4:$E$7-$K$4:$N$7,TRANSPOSE(B22:E22))-$H$4:$H$7)),1,1)</f>
        <v>0.0317919097177022</v>
      </c>
      <c r="C23" s="1" cm="1">
        <f t="array" ref="C23">INDEX(-1*MMULT(_xlfn.ANCHORARRAY($K$8),(MMULT($B$4:$E$7-$K$4:$N$7,TRANSPOSE(_xlfn.HSTACK(B23,C22:E22)))-$H$4:$H$7)),2,1)</f>
        <v>0.097752092939378</v>
      </c>
      <c r="D23" s="1" cm="1">
        <f t="array" ref="D23">INDEX(-1*MMULT(_xlfn.ANCHORARRAY($K$8),(MMULT($B$4:$E$7-$K$4:$N$7,TRANSPOSE(_xlfn.HSTACK(B23:C23,D22:E22)))-$H$4:$H$7)),3,1)</f>
        <v>0.257546564073399</v>
      </c>
      <c r="E23" s="1" cm="1">
        <f t="array" ref="E23">INDEX(-1*MMULT(_xlfn.ANCHORARRAY($K$8),(MMULT($B$4:$E$7-$K$4:$N$7,TRANSPOSE(_xlfn.HSTACK(B23:D23,E22)))-$H$4:$H$7)),4,1)</f>
        <v>0.165446369934802</v>
      </c>
      <c r="G23" s="1" cm="1">
        <f t="array" ref="G23">SUM(ABS(B23:E23-B22:E22))</f>
        <v>1.17988598162533e-7</v>
      </c>
      <c r="I23" cm="1">
        <f t="array" ref="I23:L23">TRANSPOSE(MMULT($B$4:$E$7,TRANSPOSE(B23:E23)))</f>
        <v>1.00000003649938</v>
      </c>
      <c r="J23">
        <v>1.50000005011511</v>
      </c>
      <c r="K23">
        <v>3.00000001598296</v>
      </c>
      <c r="L23">
        <v>2</v>
      </c>
    </row>
    <row r="24" spans="1:12">
      <c r="A24" s="1" t="s">
        <v>28</v>
      </c>
      <c r="B24" s="1" cm="1">
        <f t="array" ref="B24">INDEX(-1*MMULT(_xlfn.ANCHORARRAY($K$8),(MMULT($B$4:$E$7-$K$4:$N$7,TRANSPOSE(B23:E23))-$H$4:$H$7)),1,1)</f>
        <v>0.0317919066760868</v>
      </c>
      <c r="C24" s="1" cm="1">
        <f t="array" ref="C24">INDEX(-1*MMULT(_xlfn.ANCHORARRAY($K$8),(MMULT($B$4:$E$7-$K$4:$N$7,TRANSPOSE(_xlfn.HSTACK(B24,C23:E23)))-$H$4:$H$7)),2,1)</f>
        <v>0.0977520877089899</v>
      </c>
      <c r="D24" s="1" cm="1">
        <f t="array" ref="D24">INDEX(-1*MMULT(_xlfn.ANCHORARRAY($K$8),(MMULT($B$4:$E$7-$K$4:$N$7,TRANSPOSE(_xlfn.HSTACK(B24:C24,D23:E23)))-$H$4:$H$7)),3,1)</f>
        <v>0.257546564129504</v>
      </c>
      <c r="E24" s="1" cm="1">
        <f t="array" ref="E24">INDEX(-1*MMULT(_xlfn.ANCHORARRAY($K$8),(MMULT($B$4:$E$7-$K$4:$N$7,TRANSPOSE(_xlfn.HSTACK(B24:D24,E23)))-$H$4:$H$7)),4,1)</f>
        <v>0.165446371334978</v>
      </c>
      <c r="G24" s="1" cm="1">
        <f t="array" ref="G24">SUM(ABS(B24:E24-B23:E23))</f>
        <v>9.72828453904562e-9</v>
      </c>
      <c r="I24" cm="1">
        <f t="array" ref="I24:L24">TRANSPOSE(MMULT($B$4:$E$7,TRANSPOSE(B24:E24)))</f>
        <v>0.999999990995505</v>
      </c>
      <c r="J24">
        <v>1.50000000285646</v>
      </c>
      <c r="K24">
        <v>3.00000000140018</v>
      </c>
      <c r="L24">
        <v>2</v>
      </c>
    </row>
    <row r="25" spans="1:12">
      <c r="A25" s="1" t="s">
        <v>29</v>
      </c>
      <c r="B25" s="1" cm="1">
        <f t="array" ref="B25">INDEX(-1*MMULT(_xlfn.ANCHORARRAY($K$8),(MMULT($B$4:$E$7-$K$4:$N$7,TRANSPOSE(B24:E24))-$H$4:$H$7)),1,1)</f>
        <v>0.0317919074264614</v>
      </c>
      <c r="C25" s="1" cm="1">
        <f t="array" ref="C25">INDEX(-1*MMULT(_xlfn.ANCHORARRAY($K$8),(MMULT($B$4:$E$7-$K$4:$N$7,TRANSPOSE(_xlfn.HSTACK(B25,C24:E24)))-$H$4:$H$7)),2,1)</f>
        <v>0.0977520873082308</v>
      </c>
      <c r="D25" s="1" cm="1">
        <f t="array" ref="D25">INDEX(-1*MMULT(_xlfn.ANCHORARRAY($K$8),(MMULT($B$4:$E$7-$K$4:$N$7,TRANSPOSE(_xlfn.HSTACK(B25:C25,D24:E24)))-$H$4:$H$7)),3,1)</f>
        <v>0.257546563919564</v>
      </c>
      <c r="E25" s="1" cm="1">
        <f t="array" ref="E25">INDEX(-1*MMULT(_xlfn.ANCHORARRAY($K$8),(MMULT($B$4:$E$7-$K$4:$N$7,TRANSPOSE(_xlfn.HSTACK(B25:D25,E24)))-$H$4:$H$7)),4,1)</f>
        <v>0.165446371249965</v>
      </c>
      <c r="G25" s="1" cm="1">
        <f t="array" ref="G25">SUM(ABS(B25:E25-B24:E24))</f>
        <v>1.4460879854683e-9</v>
      </c>
      <c r="I25" cm="1">
        <f t="array" ref="I25:L25">TRANSPOSE(MMULT($B$4:$E$7,TRANSPOSE(B25:E25)))</f>
        <v>0.999999998903527</v>
      </c>
      <c r="J25">
        <v>1.49999999962003</v>
      </c>
      <c r="K25">
        <v>2.99999999991499</v>
      </c>
      <c r="L25">
        <v>2</v>
      </c>
    </row>
    <row r="26" spans="1:12">
      <c r="A26" s="1" t="s">
        <v>30</v>
      </c>
      <c r="B26" s="1" cm="1">
        <f t="array" ref="B26">INDEX(-1*MMULT(_xlfn.ANCHORARRAY($K$8),(MMULT($B$4:$E$7-$K$4:$N$7,TRANSPOSE(B25:E25))-$H$4:$H$7)),1,1)</f>
        <v>0.0317919075178342</v>
      </c>
      <c r="C26" s="1" cm="1">
        <f t="array" ref="C26">INDEX(-1*MMULT(_xlfn.ANCHORARRAY($K$8),(MMULT($B$4:$E$7-$K$4:$N$7,TRANSPOSE(_xlfn.HSTACK(B26,C25:E25)))-$H$4:$H$7)),2,1)</f>
        <v>0.0977520873402969</v>
      </c>
      <c r="D26" s="1" cm="1">
        <f t="array" ref="D26">INDEX(-1*MMULT(_xlfn.ANCHORARRAY($K$8),(MMULT($B$4:$E$7-$K$4:$N$7,TRANSPOSE(_xlfn.HSTACK(B26:C26,D25:E25)))-$H$4:$H$7)),3,1)</f>
        <v>0.257546563903377</v>
      </c>
      <c r="E26" s="1" cm="1">
        <f t="array" ref="E26">INDEX(-1*MMULT(_xlfn.ANCHORARRAY($K$8),(MMULT($B$4:$E$7-$K$4:$N$7,TRANSPOSE(_xlfn.HSTACK(B26:D26,E25)))-$H$4:$H$7)),4,1)</f>
        <v>0.16544637122716</v>
      </c>
      <c r="G26" s="1" cm="1">
        <f t="array" ref="G26">SUM(ABS(B26:E26-B25:E25))</f>
        <v>1.62430062455865e-10</v>
      </c>
      <c r="I26" cm="1">
        <f t="array" ref="I26:L26">TRANSPOSE(MMULT($B$4:$E$7,TRANSPOSE(B26:E26)))</f>
        <v>1.00000000002514</v>
      </c>
      <c r="J26">
        <v>1.4999999999382</v>
      </c>
      <c r="K26">
        <v>2.9999999999772</v>
      </c>
      <c r="L26">
        <v>2</v>
      </c>
    </row>
    <row r="27" spans="1:12">
      <c r="A27" s="1" t="s">
        <v>31</v>
      </c>
      <c r="B27" s="1" cm="1">
        <f t="array" ref="B27">INDEX(-1*MMULT(_xlfn.ANCHORARRAY($K$8),(MMULT($B$4:$E$7-$K$4:$N$7,TRANSPOSE(B26:E26))-$H$4:$H$7)),1,1)</f>
        <v>0.0317919075157391</v>
      </c>
      <c r="C27" s="1" cm="1">
        <f t="array" ref="C27">INDEX(-1*MMULT(_xlfn.ANCHORARRAY($K$8),(MMULT($B$4:$E$7-$K$4:$N$7,TRANSPOSE(_xlfn.HSTACK(B27,C26:E26)))-$H$4:$H$7)),2,1)</f>
        <v>0.0977520873473959</v>
      </c>
      <c r="D27" s="1" cm="1">
        <f t="array" ref="D27">INDEX(-1*MMULT(_xlfn.ANCHORARRAY($K$8),(MMULT($B$4:$E$7-$K$4:$N$7,TRANSPOSE(_xlfn.HSTACK(B27:C27,D26:E26)))-$H$4:$H$7)),3,1)</f>
        <v>0.257546563904657</v>
      </c>
      <c r="E27" s="1" cm="1">
        <f t="array" ref="E27">INDEX(-1*MMULT(_xlfn.ANCHORARRAY($K$8),(MMULT($B$4:$E$7-$K$4:$N$7,TRANSPOSE(_xlfn.HSTACK(B27:D27,E26)))-$H$4:$H$7)),4,1)</f>
        <v>0.165446371226476</v>
      </c>
      <c r="G27" s="1" cm="1">
        <f t="array" ref="G27">SUM(ABS(B27:E27-B26:E26))</f>
        <v>1.11572626138035e-11</v>
      </c>
      <c r="I27" cm="1">
        <f t="array" ref="I27:L27">TRANSPOSE(MMULT($B$4:$E$7,TRANSPOSE(B27:E27)))</f>
        <v>1.00000000001479</v>
      </c>
      <c r="J27">
        <v>1.49999999999991</v>
      </c>
      <c r="K27">
        <v>2.99999999999932</v>
      </c>
      <c r="L27">
        <v>2</v>
      </c>
    </row>
    <row r="28" spans="1:12">
      <c r="A28" s="1" t="s">
        <v>32</v>
      </c>
      <c r="B28" s="1" cm="1">
        <f t="array" ref="B28">INDEX(-1*MMULT(_xlfn.ANCHORARRAY($K$8),(MMULT($B$4:$E$7-$K$4:$N$7,TRANSPOSE(B27:E27))-$H$4:$H$7)),1,1)</f>
        <v>0.0317919075145062</v>
      </c>
      <c r="C28" s="1" cm="1">
        <f t="array" ref="C28">INDEX(-1*MMULT(_xlfn.ANCHORARRAY($K$8),(MMULT($B$4:$E$7-$K$4:$N$7,TRANSPOSE(_xlfn.HSTACK(B28,C27:E27)))-$H$4:$H$7)),2,1)</f>
        <v>0.0977520873475426</v>
      </c>
      <c r="D28" s="1" cm="1">
        <f t="array" ref="D28">INDEX(-1*MMULT(_xlfn.ANCHORARRAY($K$8),(MMULT($B$4:$E$7-$K$4:$N$7,TRANSPOSE(_xlfn.HSTACK(B28:C28,D27:E27)))-$H$4:$H$7)),3,1)</f>
        <v>0.257546563904943</v>
      </c>
      <c r="E28" s="1" cm="1">
        <f t="array" ref="E28">INDEX(-1*MMULT(_xlfn.ANCHORARRAY($K$8),(MMULT($B$4:$E$7-$K$4:$N$7,TRANSPOSE(_xlfn.HSTACK(B28:D28,E27)))-$H$4:$H$7)),4,1)</f>
        <v>0.165446371226695</v>
      </c>
      <c r="G28" s="1" cm="1">
        <f t="array" ref="G28">SUM(ABS(B28:E28-B27:E27))</f>
        <v>1.88364601694246e-12</v>
      </c>
      <c r="I28" cm="1">
        <f t="array" ref="I28:L28">TRANSPOSE(MMULT($B$4:$E$7,TRANSPOSE(B28:E28)))</f>
        <v>1.0000000000008</v>
      </c>
      <c r="J28">
        <v>1.50000000000072</v>
      </c>
      <c r="K28">
        <v>3.00000000000022</v>
      </c>
      <c r="L28">
        <v>2</v>
      </c>
    </row>
    <row r="29" spans="1:12">
      <c r="A29" s="1" t="s">
        <v>33</v>
      </c>
      <c r="B29" s="1" cm="1">
        <f t="array" ref="B29">INDEX(-1*MMULT(_xlfn.ANCHORARRAY($K$8),(MMULT($B$4:$E$7-$K$4:$N$7,TRANSPOSE(B28:E28))-$H$4:$H$7)),1,1)</f>
        <v>0.0317919075144398</v>
      </c>
      <c r="C29" s="1" cm="1">
        <f t="array" ref="C29">INDEX(-1*MMULT(_xlfn.ANCHORARRAY($K$8),(MMULT($B$4:$E$7-$K$4:$N$7,TRANSPOSE(_xlfn.HSTACK(B29,C28:E28)))-$H$4:$H$7)),2,1)</f>
        <v>0.0977520873474697</v>
      </c>
      <c r="D29" s="1" cm="1">
        <f t="array" ref="D29">INDEX(-1*MMULT(_xlfn.ANCHORARRAY($K$8),(MMULT($B$4:$E$7-$K$4:$N$7,TRANSPOSE(_xlfn.HSTACK(B29:C29,D28:E28)))-$H$4:$H$7)),3,1)</f>
        <v>0.257546563904949</v>
      </c>
      <c r="E29" s="1" cm="1">
        <f t="array" ref="E29">INDEX(-1*MMULT(_xlfn.ANCHORARRAY($K$8),(MMULT($B$4:$E$7-$K$4:$N$7,TRANSPOSE(_xlfn.HSTACK(B29:D29,E28)))-$H$4:$H$7)),4,1)</f>
        <v>0.165446371226719</v>
      </c>
      <c r="G29" s="1" cm="1">
        <f t="array" ref="G29">SUM(ABS(B29:E29-B28:E28))</f>
        <v>1.69621261481012e-13</v>
      </c>
      <c r="I29" cm="1">
        <f t="array" ref="I29:L29">TRANSPOSE(MMULT($B$4:$E$7,TRANSPOSE(B29:E29)))</f>
        <v>0.999999999999884</v>
      </c>
      <c r="J29">
        <v>1.50000000000005</v>
      </c>
      <c r="K29">
        <v>3.00000000000002</v>
      </c>
      <c r="L29">
        <v>2</v>
      </c>
    </row>
    <row r="30" spans="1:12">
      <c r="A30" s="1" t="s">
        <v>34</v>
      </c>
      <c r="B30" s="1" cm="1">
        <f t="array" ref="B30">INDEX(-1*MMULT(_xlfn.ANCHORARRAY($K$8),(MMULT($B$4:$E$7-$K$4:$N$7,TRANSPOSE(B29:E29))-$H$4:$H$7)),1,1)</f>
        <v>0.0317919075144494</v>
      </c>
      <c r="C30" s="1" cm="1">
        <f t="array" ref="C30">INDEX(-1*MMULT(_xlfn.ANCHORARRAY($K$8),(MMULT($B$4:$E$7-$K$4:$N$7,TRANSPOSE(_xlfn.HSTACK(B30,C29:E29)))-$H$4:$H$7)),2,1)</f>
        <v>0.0977520873474626</v>
      </c>
      <c r="D30" s="1" cm="1">
        <f t="array" ref="D30">INDEX(-1*MMULT(_xlfn.ANCHORARRAY($K$8),(MMULT($B$4:$E$7-$K$4:$N$7,TRANSPOSE(_xlfn.HSTACK(B30:C30,D29:E29)))-$H$4:$H$7)),3,1)</f>
        <v>0.257546563904946</v>
      </c>
      <c r="E30" s="1" cm="1">
        <f t="array" ref="E30">INDEX(-1*MMULT(_xlfn.ANCHORARRAY($K$8),(MMULT($B$4:$E$7-$K$4:$N$7,TRANSPOSE(_xlfn.HSTACK(B30:D30,E29)))-$H$4:$H$7)),4,1)</f>
        <v>0.165446371226718</v>
      </c>
      <c r="G30" s="1" cm="1">
        <f t="array" ref="G30">SUM(ABS(B30:E30-B29:E29))</f>
        <v>2.04627981226224e-14</v>
      </c>
      <c r="I30" cm="1">
        <f t="array" ref="I30:L30">TRANSPOSE(MMULT($B$4:$E$7,TRANSPOSE(B30:E30)))</f>
        <v>0.999999999999982</v>
      </c>
      <c r="J30">
        <v>1.5</v>
      </c>
      <c r="K30">
        <v>3</v>
      </c>
      <c r="L30">
        <v>2</v>
      </c>
    </row>
    <row r="31" spans="1:12">
      <c r="A31" s="1" t="s">
        <v>35</v>
      </c>
      <c r="B31" s="1" cm="1">
        <f t="array" ref="B31">INDEX(-1*MMULT(_xlfn.ANCHORARRAY($K$8),(MMULT($B$4:$E$7-$K$4:$N$7,TRANSPOSE(B30:E30))-$H$4:$H$7)),1,1)</f>
        <v>0.0317919075144509</v>
      </c>
      <c r="C31" s="1" cm="1">
        <f t="array" ref="C31">INDEX(-1*MMULT(_xlfn.ANCHORARRAY($K$8),(MMULT($B$4:$E$7-$K$4:$N$7,TRANSPOSE(_xlfn.HSTACK(B31,C30:E30)))-$H$4:$H$7)),2,1)</f>
        <v>0.0977520873474629</v>
      </c>
      <c r="D31" s="1" cm="1">
        <f t="array" ref="D31">INDEX(-1*MMULT(_xlfn.ANCHORARRAY($K$8),(MMULT($B$4:$E$7-$K$4:$N$7,TRANSPOSE(_xlfn.HSTACK(B31:C31,D30:E30)))-$H$4:$H$7)),3,1)</f>
        <v>0.257546563904945</v>
      </c>
      <c r="E31" s="1" cm="1">
        <f t="array" ref="E31">INDEX(-1*MMULT(_xlfn.ANCHORARRAY($K$8),(MMULT($B$4:$E$7-$K$4:$N$7,TRANSPOSE(_xlfn.HSTACK(B31:D31,E30)))-$H$4:$H$7)),4,1)</f>
        <v>0.165446371226718</v>
      </c>
      <c r="G31" s="1" cm="1">
        <f t="array" ref="G31">SUM(ABS(B31:E31-B30:E30))</f>
        <v>2.42167397246362e-15</v>
      </c>
      <c r="I31" cm="1">
        <f t="array" ref="I31:L31">TRANSPOSE(MMULT($B$4:$E$7,TRANSPOSE(B31:E31)))</f>
        <v>1</v>
      </c>
      <c r="J31">
        <v>1.5</v>
      </c>
      <c r="K31">
        <v>3</v>
      </c>
      <c r="L31">
        <v>2</v>
      </c>
    </row>
    <row r="32" spans="1:12">
      <c r="A32" s="1" t="s">
        <v>36</v>
      </c>
      <c r="B32" s="1" cm="1">
        <f t="array" ref="B32">INDEX(-1*MMULT(_xlfn.ANCHORARRAY($K$8),(MMULT($B$4:$E$7-$K$4:$N$7,TRANSPOSE(B31:E31))-$H$4:$H$7)),1,1)</f>
        <v>0.0317919075144509</v>
      </c>
      <c r="C32" s="1" cm="1">
        <f t="array" ref="C32">INDEX(-1*MMULT(_xlfn.ANCHORARRAY($K$8),(MMULT($B$4:$E$7-$K$4:$N$7,TRANSPOSE(_xlfn.HSTACK(B32,C31:E31)))-$H$4:$H$7)),2,1)</f>
        <v>0.0977520873474631</v>
      </c>
      <c r="D32" s="1" cm="1">
        <f t="array" ref="D32">INDEX(-1*MMULT(_xlfn.ANCHORARRAY($K$8),(MMULT($B$4:$E$7-$K$4:$N$7,TRANSPOSE(_xlfn.HSTACK(B32:C32,D31:E31)))-$H$4:$H$7)),3,1)</f>
        <v>0.257546563904945</v>
      </c>
      <c r="E32" s="1" cm="1">
        <f t="array" ref="E32">INDEX(-1*MMULT(_xlfn.ANCHORARRAY($K$8),(MMULT($B$4:$E$7-$K$4:$N$7,TRANSPOSE(_xlfn.HSTACK(B32:D32,E31)))-$H$4:$H$7)),4,1)</f>
        <v>0.165446371226718</v>
      </c>
      <c r="G32" s="1" cm="1">
        <f t="array" ref="G32">SUM(ABS(B32:E32-B31:E31))</f>
        <v>1.11022302462516e-16</v>
      </c>
      <c r="I32" cm="1">
        <f t="array" ref="I32:L32">TRANSPOSE(MMULT($B$4:$E$7,TRANSPOSE(B32:E32)))</f>
        <v>1</v>
      </c>
      <c r="J32">
        <v>1.5</v>
      </c>
      <c r="K32">
        <v>3</v>
      </c>
      <c r="L32">
        <v>2</v>
      </c>
    </row>
    <row r="33" spans="1:12">
      <c r="A33" s="1" t="s">
        <v>37</v>
      </c>
      <c r="B33" s="1" cm="1">
        <f t="array" ref="B33">INDEX(-1*MMULT(_xlfn.ANCHORARRAY($K$8),(MMULT($B$4:$E$7-$K$4:$N$7,TRANSPOSE(B32:E32))-$H$4:$H$7)),1,1)</f>
        <v>0.0317919075144509</v>
      </c>
      <c r="C33" s="1" cm="1">
        <f t="array" ref="C33">INDEX(-1*MMULT(_xlfn.ANCHORARRAY($K$8),(MMULT($B$4:$E$7-$K$4:$N$7,TRANSPOSE(_xlfn.HSTACK(B33,C32:E32)))-$H$4:$H$7)),2,1)</f>
        <v>0.0977520873474631</v>
      </c>
      <c r="D33" s="1" cm="1">
        <f t="array" ref="D33">INDEX(-1*MMULT(_xlfn.ANCHORARRAY($K$8),(MMULT($B$4:$E$7-$K$4:$N$7,TRANSPOSE(_xlfn.HSTACK(B33:C33,D32:E32)))-$H$4:$H$7)),3,1)</f>
        <v>0.257546563904945</v>
      </c>
      <c r="E33" s="1" cm="1">
        <f t="array" ref="E33">INDEX(-1*MMULT(_xlfn.ANCHORARRAY($K$8),(MMULT($B$4:$E$7-$K$4:$N$7,TRANSPOSE(_xlfn.HSTACK(B33:D33,E32)))-$H$4:$H$7)),4,1)</f>
        <v>0.165446371226718</v>
      </c>
      <c r="G33" s="1" cm="1">
        <f t="array" ref="G33">SUM(ABS(B33:E33-B32:E32))</f>
        <v>0</v>
      </c>
      <c r="I33" cm="1">
        <f t="array" ref="I33:L33">TRANSPOSE(MMULT($B$4:$E$7,TRANSPOSE(B33:E33)))</f>
        <v>1</v>
      </c>
      <c r="J33">
        <v>1.5</v>
      </c>
      <c r="K33">
        <v>3</v>
      </c>
      <c r="L33">
        <v>2</v>
      </c>
    </row>
    <row r="34" spans="1:12">
      <c r="A34" s="1" t="s">
        <v>38</v>
      </c>
      <c r="B34" s="1" cm="1">
        <f t="array" ref="B34">INDEX(-1*MMULT(_xlfn.ANCHORARRAY($K$8),(MMULT($B$4:$E$7-$K$4:$N$7,TRANSPOSE(B33:E33))-$H$4:$H$7)),1,1)</f>
        <v>0.0317919075144509</v>
      </c>
      <c r="C34" s="1" cm="1">
        <f t="array" ref="C34">INDEX(-1*MMULT(_xlfn.ANCHORARRAY($K$8),(MMULT($B$4:$E$7-$K$4:$N$7,TRANSPOSE(_xlfn.HSTACK(B34,C33:E33)))-$H$4:$H$7)),2,1)</f>
        <v>0.0977520873474631</v>
      </c>
      <c r="D34" s="1" cm="1">
        <f t="array" ref="D34">INDEX(-1*MMULT(_xlfn.ANCHORARRAY($K$8),(MMULT($B$4:$E$7-$K$4:$N$7,TRANSPOSE(_xlfn.HSTACK(B34:C34,D33:E33)))-$H$4:$H$7)),3,1)</f>
        <v>0.257546563904945</v>
      </c>
      <c r="E34" s="1" cm="1">
        <f t="array" ref="E34">INDEX(-1*MMULT(_xlfn.ANCHORARRAY($K$8),(MMULT($B$4:$E$7-$K$4:$N$7,TRANSPOSE(_xlfn.HSTACK(B34:D34,E33)))-$H$4:$H$7)),4,1)</f>
        <v>0.165446371226718</v>
      </c>
      <c r="G34" s="1" cm="1">
        <f t="array" ref="G34">SUM(ABS(B34:E34-B33:E33))</f>
        <v>0</v>
      </c>
      <c r="I34" cm="1">
        <f t="array" ref="I34:L34">TRANSPOSE(MMULT($B$4:$E$7,TRANSPOSE(B34:E34)))</f>
        <v>1</v>
      </c>
      <c r="J34">
        <v>1.5</v>
      </c>
      <c r="K34">
        <v>3</v>
      </c>
      <c r="L34">
        <v>2</v>
      </c>
    </row>
    <row r="35" spans="1:12">
      <c r="A35" s="1" t="s">
        <v>39</v>
      </c>
      <c r="B35" s="1" cm="1">
        <f t="array" ref="B35">INDEX(-1*MMULT(_xlfn.ANCHORARRAY($K$8),(MMULT($B$4:$E$7-$K$4:$N$7,TRANSPOSE(B34:E34))-$H$4:$H$7)),1,1)</f>
        <v>0.0317919075144509</v>
      </c>
      <c r="C35" s="1" cm="1">
        <f t="array" ref="C35">INDEX(-1*MMULT(_xlfn.ANCHORARRAY($K$8),(MMULT($B$4:$E$7-$K$4:$N$7,TRANSPOSE(_xlfn.HSTACK(B35,C34:E34)))-$H$4:$H$7)),2,1)</f>
        <v>0.0977520873474631</v>
      </c>
      <c r="D35" s="1" cm="1">
        <f t="array" ref="D35">INDEX(-1*MMULT(_xlfn.ANCHORARRAY($K$8),(MMULT($B$4:$E$7-$K$4:$N$7,TRANSPOSE(_xlfn.HSTACK(B35:C35,D34:E34)))-$H$4:$H$7)),3,1)</f>
        <v>0.257546563904945</v>
      </c>
      <c r="E35" s="1" cm="1">
        <f t="array" ref="E35">INDEX(-1*MMULT(_xlfn.ANCHORARRAY($K$8),(MMULT($B$4:$E$7-$K$4:$N$7,TRANSPOSE(_xlfn.HSTACK(B35:D35,E34)))-$H$4:$H$7)),4,1)</f>
        <v>0.165446371226718</v>
      </c>
      <c r="G35" s="1" cm="1">
        <f t="array" ref="G35">SUM(ABS(B35:E35-B34:E34))</f>
        <v>0</v>
      </c>
      <c r="I35" cm="1">
        <f t="array" ref="I35:L35">TRANSPOSE(MMULT($B$4:$E$7,TRANSPOSE(B35:E35)))</f>
        <v>1</v>
      </c>
      <c r="J35">
        <v>1.5</v>
      </c>
      <c r="K35">
        <v>3</v>
      </c>
      <c r="L35">
        <v>2</v>
      </c>
    </row>
    <row r="36" spans="1:12">
      <c r="A36" s="1" t="s">
        <v>40</v>
      </c>
      <c r="B36" s="1" cm="1">
        <f t="array" ref="B36">INDEX(-1*MMULT(_xlfn.ANCHORARRAY($K$8),(MMULT($B$4:$E$7-$K$4:$N$7,TRANSPOSE(B35:E35))-$H$4:$H$7)),1,1)</f>
        <v>0.0317919075144509</v>
      </c>
      <c r="C36" s="1" cm="1">
        <f t="array" ref="C36">INDEX(-1*MMULT(_xlfn.ANCHORARRAY($K$8),(MMULT($B$4:$E$7-$K$4:$N$7,TRANSPOSE(_xlfn.HSTACK(B36,C35:E35)))-$H$4:$H$7)),2,1)</f>
        <v>0.0977520873474631</v>
      </c>
      <c r="D36" s="1" cm="1">
        <f t="array" ref="D36">INDEX(-1*MMULT(_xlfn.ANCHORARRAY($K$8),(MMULT($B$4:$E$7-$K$4:$N$7,TRANSPOSE(_xlfn.HSTACK(B36:C36,D35:E35)))-$H$4:$H$7)),3,1)</f>
        <v>0.257546563904945</v>
      </c>
      <c r="E36" s="1" cm="1">
        <f t="array" ref="E36">INDEX(-1*MMULT(_xlfn.ANCHORARRAY($K$8),(MMULT($B$4:$E$7-$K$4:$N$7,TRANSPOSE(_xlfn.HSTACK(B36:D36,E35)))-$H$4:$H$7)),4,1)</f>
        <v>0.165446371226718</v>
      </c>
      <c r="G36" s="1" cm="1">
        <f t="array" ref="G36">SUM(ABS(B36:E36-B35:E35))</f>
        <v>0</v>
      </c>
      <c r="I36" cm="1">
        <f t="array" ref="I36:L36">TRANSPOSE(MMULT($B$4:$E$7,TRANSPOSE(B36:E36)))</f>
        <v>1</v>
      </c>
      <c r="J36">
        <v>1.5</v>
      </c>
      <c r="K36">
        <v>3</v>
      </c>
      <c r="L36">
        <v>2</v>
      </c>
    </row>
    <row r="37" spans="1:12">
      <c r="A37" s="1" t="s">
        <v>41</v>
      </c>
      <c r="B37" s="1" cm="1">
        <f t="array" ref="B37">INDEX(-1*MMULT(_xlfn.ANCHORARRAY($K$8),(MMULT($B$4:$E$7-$K$4:$N$7,TRANSPOSE(B36:E36))-$H$4:$H$7)),1,1)</f>
        <v>0.0317919075144509</v>
      </c>
      <c r="C37" s="1" cm="1">
        <f t="array" ref="C37">INDEX(-1*MMULT(_xlfn.ANCHORARRAY($K$8),(MMULT($B$4:$E$7-$K$4:$N$7,TRANSPOSE(_xlfn.HSTACK(B37,C36:E36)))-$H$4:$H$7)),2,1)</f>
        <v>0.0977520873474631</v>
      </c>
      <c r="D37" s="1" cm="1">
        <f t="array" ref="D37">INDEX(-1*MMULT(_xlfn.ANCHORARRAY($K$8),(MMULT($B$4:$E$7-$K$4:$N$7,TRANSPOSE(_xlfn.HSTACK(B37:C37,D36:E36)))-$H$4:$H$7)),3,1)</f>
        <v>0.257546563904945</v>
      </c>
      <c r="E37" s="1" cm="1">
        <f t="array" ref="E37">INDEX(-1*MMULT(_xlfn.ANCHORARRAY($K$8),(MMULT($B$4:$E$7-$K$4:$N$7,TRANSPOSE(_xlfn.HSTACK(B37:D37,E36)))-$H$4:$H$7)),4,1)</f>
        <v>0.165446371226718</v>
      </c>
      <c r="G37" s="1" cm="1">
        <f t="array" ref="G37">SUM(ABS(B37:E37-B36:E36))</f>
        <v>0</v>
      </c>
      <c r="I37" cm="1">
        <f t="array" ref="I37:L37">TRANSPOSE(MMULT($B$4:$E$7,TRANSPOSE(B37:E37)))</f>
        <v>1</v>
      </c>
      <c r="J37">
        <v>1.5</v>
      </c>
      <c r="K37">
        <v>3</v>
      </c>
      <c r="L37">
        <v>2</v>
      </c>
    </row>
    <row r="38" spans="1:12">
      <c r="A38" s="1" t="s">
        <v>42</v>
      </c>
      <c r="B38" s="1" cm="1">
        <f t="array" ref="B38">INDEX(-1*MMULT(_xlfn.ANCHORARRAY($K$8),(MMULT($B$4:$E$7-$K$4:$N$7,TRANSPOSE(B37:E37))-$H$4:$H$7)),1,1)</f>
        <v>0.0317919075144509</v>
      </c>
      <c r="C38" s="1" cm="1">
        <f t="array" ref="C38">INDEX(-1*MMULT(_xlfn.ANCHORARRAY($K$8),(MMULT($B$4:$E$7-$K$4:$N$7,TRANSPOSE(_xlfn.HSTACK(B38,C37:E37)))-$H$4:$H$7)),2,1)</f>
        <v>0.0977520873474631</v>
      </c>
      <c r="D38" s="1" cm="1">
        <f t="array" ref="D38">INDEX(-1*MMULT(_xlfn.ANCHORARRAY($K$8),(MMULT($B$4:$E$7-$K$4:$N$7,TRANSPOSE(_xlfn.HSTACK(B38:C38,D37:E37)))-$H$4:$H$7)),3,1)</f>
        <v>0.257546563904945</v>
      </c>
      <c r="E38" s="1" cm="1">
        <f t="array" ref="E38">INDEX(-1*MMULT(_xlfn.ANCHORARRAY($K$8),(MMULT($B$4:$E$7-$K$4:$N$7,TRANSPOSE(_xlfn.HSTACK(B38:D38,E37)))-$H$4:$H$7)),4,1)</f>
        <v>0.165446371226718</v>
      </c>
      <c r="G38" s="1" cm="1">
        <f t="array" ref="G38">SUM(ABS(B38:E38-B37:E37))</f>
        <v>0</v>
      </c>
      <c r="I38" cm="1">
        <f t="array" ref="I38:L38">TRANSPOSE(MMULT($B$4:$E$7,TRANSPOSE(B38:E38)))</f>
        <v>1</v>
      </c>
      <c r="J38">
        <v>1.5</v>
      </c>
      <c r="K38">
        <v>3</v>
      </c>
      <c r="L38">
        <v>2</v>
      </c>
    </row>
    <row r="39" spans="1:12">
      <c r="A39" s="1" t="s">
        <v>43</v>
      </c>
      <c r="B39" s="1" cm="1">
        <f t="array" ref="B39">INDEX(-1*MMULT(_xlfn.ANCHORARRAY($K$8),(MMULT($B$4:$E$7-$K$4:$N$7,TRANSPOSE(B38:E38))-$H$4:$H$7)),1,1)</f>
        <v>0.0317919075144509</v>
      </c>
      <c r="C39" s="1" cm="1">
        <f t="array" ref="C39">INDEX(-1*MMULT(_xlfn.ANCHORARRAY($K$8),(MMULT($B$4:$E$7-$K$4:$N$7,TRANSPOSE(_xlfn.HSTACK(B39,C38:E38)))-$H$4:$H$7)),2,1)</f>
        <v>0.0977520873474631</v>
      </c>
      <c r="D39" s="1" cm="1">
        <f t="array" ref="D39">INDEX(-1*MMULT(_xlfn.ANCHORARRAY($K$8),(MMULT($B$4:$E$7-$K$4:$N$7,TRANSPOSE(_xlfn.HSTACK(B39:C39,D38:E38)))-$H$4:$H$7)),3,1)</f>
        <v>0.257546563904945</v>
      </c>
      <c r="E39" s="1" cm="1">
        <f t="array" ref="E39">INDEX(-1*MMULT(_xlfn.ANCHORARRAY($K$8),(MMULT($B$4:$E$7-$K$4:$N$7,TRANSPOSE(_xlfn.HSTACK(B39:D39,E38)))-$H$4:$H$7)),4,1)</f>
        <v>0.165446371226718</v>
      </c>
      <c r="G39" s="1" cm="1">
        <f t="array" ref="G39">SUM(ABS(B39:E39-B38:E38))</f>
        <v>0</v>
      </c>
      <c r="I39" cm="1">
        <f t="array" ref="I39:L39">TRANSPOSE(MMULT($B$4:$E$7,TRANSPOSE(B39:E39)))</f>
        <v>1</v>
      </c>
      <c r="J39">
        <v>1.5</v>
      </c>
      <c r="K39">
        <v>3</v>
      </c>
      <c r="L39">
        <v>2</v>
      </c>
    </row>
    <row r="40" spans="1:12">
      <c r="A40" s="1" t="s">
        <v>44</v>
      </c>
      <c r="B40" s="1" cm="1">
        <f t="array" ref="B40">INDEX(-1*MMULT(_xlfn.ANCHORARRAY($K$8),(MMULT($B$4:$E$7-$K$4:$N$7,TRANSPOSE(B39:E39))-$H$4:$H$7)),1,1)</f>
        <v>0.0317919075144509</v>
      </c>
      <c r="C40" s="1" cm="1">
        <f t="array" ref="C40">INDEX(-1*MMULT(_xlfn.ANCHORARRAY($K$8),(MMULT($B$4:$E$7-$K$4:$N$7,TRANSPOSE(_xlfn.HSTACK(B40,C39:E39)))-$H$4:$H$7)),2,1)</f>
        <v>0.0977520873474631</v>
      </c>
      <c r="D40" s="1" cm="1">
        <f t="array" ref="D40">INDEX(-1*MMULT(_xlfn.ANCHORARRAY($K$8),(MMULT($B$4:$E$7-$K$4:$N$7,TRANSPOSE(_xlfn.HSTACK(B40:C40,D39:E39)))-$H$4:$H$7)),3,1)</f>
        <v>0.257546563904945</v>
      </c>
      <c r="E40" s="1" cm="1">
        <f t="array" ref="E40">INDEX(-1*MMULT(_xlfn.ANCHORARRAY($K$8),(MMULT($B$4:$E$7-$K$4:$N$7,TRANSPOSE(_xlfn.HSTACK(B40:D40,E39)))-$H$4:$H$7)),4,1)</f>
        <v>0.165446371226718</v>
      </c>
      <c r="G40" s="1" cm="1">
        <f t="array" ref="G40">SUM(ABS(B40:E40-B39:E39))</f>
        <v>0</v>
      </c>
      <c r="I40" cm="1">
        <f t="array" ref="I40:L40">TRANSPOSE(MMULT($B$4:$E$7,TRANSPOSE(B40:E40)))</f>
        <v>1</v>
      </c>
      <c r="J40">
        <v>1.5</v>
      </c>
      <c r="K40">
        <v>3</v>
      </c>
      <c r="L40">
        <v>2</v>
      </c>
    </row>
    <row r="41" spans="1:12">
      <c r="A41" s="1" t="s">
        <v>45</v>
      </c>
      <c r="B41" s="1" cm="1">
        <f t="array" ref="B41">INDEX(-1*MMULT(_xlfn.ANCHORARRAY($K$8),(MMULT($B$4:$E$7-$K$4:$N$7,TRANSPOSE(B40:E40))-$H$4:$H$7)),1,1)</f>
        <v>0.0317919075144509</v>
      </c>
      <c r="C41" s="1" cm="1">
        <f t="array" ref="C41">INDEX(-1*MMULT(_xlfn.ANCHORARRAY($K$8),(MMULT($B$4:$E$7-$K$4:$N$7,TRANSPOSE(_xlfn.HSTACK(B41,C40:E40)))-$H$4:$H$7)),2,1)</f>
        <v>0.0977520873474631</v>
      </c>
      <c r="D41" s="1" cm="1">
        <f t="array" ref="D41">INDEX(-1*MMULT(_xlfn.ANCHORARRAY($K$8),(MMULT($B$4:$E$7-$K$4:$N$7,TRANSPOSE(_xlfn.HSTACK(B41:C41,D40:E40)))-$H$4:$H$7)),3,1)</f>
        <v>0.257546563904945</v>
      </c>
      <c r="E41" s="1" cm="1">
        <f t="array" ref="E41">INDEX(-1*MMULT(_xlfn.ANCHORARRAY($K$8),(MMULT($B$4:$E$7-$K$4:$N$7,TRANSPOSE(_xlfn.HSTACK(B41:D41,E40)))-$H$4:$H$7)),4,1)</f>
        <v>0.165446371226718</v>
      </c>
      <c r="G41" s="1" cm="1">
        <f t="array" ref="G41">SUM(ABS(B41:E41-B40:E40))</f>
        <v>0</v>
      </c>
      <c r="I41" cm="1">
        <f t="array" ref="I41:L41">TRANSPOSE(MMULT($B$4:$E$7,TRANSPOSE(B41:E41)))</f>
        <v>1</v>
      </c>
      <c r="J41">
        <v>1.5</v>
      </c>
      <c r="K41">
        <v>3</v>
      </c>
      <c r="L41">
        <v>2</v>
      </c>
    </row>
    <row r="42" spans="1:12">
      <c r="A42" s="1" t="s">
        <v>46</v>
      </c>
      <c r="B42" s="1" cm="1">
        <f t="array" ref="B42">INDEX(-1*MMULT(_xlfn.ANCHORARRAY($K$8),(MMULT($B$4:$E$7-$K$4:$N$7,TRANSPOSE(B41:E41))-$H$4:$H$7)),1,1)</f>
        <v>0.0317919075144509</v>
      </c>
      <c r="C42" s="1" cm="1">
        <f t="array" ref="C42">INDEX(-1*MMULT(_xlfn.ANCHORARRAY($K$8),(MMULT($B$4:$E$7-$K$4:$N$7,TRANSPOSE(_xlfn.HSTACK(B42,C41:E41)))-$H$4:$H$7)),2,1)</f>
        <v>0.0977520873474631</v>
      </c>
      <c r="D42" s="1" cm="1">
        <f t="array" ref="D42">INDEX(-1*MMULT(_xlfn.ANCHORARRAY($K$8),(MMULT($B$4:$E$7-$K$4:$N$7,TRANSPOSE(_xlfn.HSTACK(B42:C42,D41:E41)))-$H$4:$H$7)),3,1)</f>
        <v>0.257546563904945</v>
      </c>
      <c r="E42" s="1" cm="1">
        <f t="array" ref="E42">INDEX(-1*MMULT(_xlfn.ANCHORARRAY($K$8),(MMULT($B$4:$E$7-$K$4:$N$7,TRANSPOSE(_xlfn.HSTACK(B42:D42,E41)))-$H$4:$H$7)),4,1)</f>
        <v>0.165446371226718</v>
      </c>
      <c r="G42" s="1" cm="1">
        <f t="array" ref="G42">SUM(ABS(B42:E42-B41:E41))</f>
        <v>0</v>
      </c>
      <c r="I42" cm="1">
        <f t="array" ref="I42:L42">TRANSPOSE(MMULT($B$4:$E$7,TRANSPOSE(B42:E42)))</f>
        <v>1</v>
      </c>
      <c r="J42">
        <v>1.5</v>
      </c>
      <c r="K42">
        <v>3</v>
      </c>
      <c r="L42">
        <v>2</v>
      </c>
    </row>
    <row r="43" spans="1:12">
      <c r="A43" s="1" t="s">
        <v>47</v>
      </c>
      <c r="B43" s="1" cm="1">
        <f t="array" ref="B43">INDEX(-1*MMULT(_xlfn.ANCHORARRAY($K$8),(MMULT($B$4:$E$7-$K$4:$N$7,TRANSPOSE(B42:E42))-$H$4:$H$7)),1,1)</f>
        <v>0.0317919075144509</v>
      </c>
      <c r="C43" s="1" cm="1">
        <f t="array" ref="C43">INDEX(-1*MMULT(_xlfn.ANCHORARRAY($K$8),(MMULT($B$4:$E$7-$K$4:$N$7,TRANSPOSE(_xlfn.HSTACK(B43,C42:E42)))-$H$4:$H$7)),2,1)</f>
        <v>0.0977520873474631</v>
      </c>
      <c r="D43" s="1" cm="1">
        <f t="array" ref="D43">INDEX(-1*MMULT(_xlfn.ANCHORARRAY($K$8),(MMULT($B$4:$E$7-$K$4:$N$7,TRANSPOSE(_xlfn.HSTACK(B43:C43,D42:E42)))-$H$4:$H$7)),3,1)</f>
        <v>0.257546563904945</v>
      </c>
      <c r="E43" s="1" cm="1">
        <f t="array" ref="E43">INDEX(-1*MMULT(_xlfn.ANCHORARRAY($K$8),(MMULT($B$4:$E$7-$K$4:$N$7,TRANSPOSE(_xlfn.HSTACK(B43:D43,E42)))-$H$4:$H$7)),4,1)</f>
        <v>0.165446371226718</v>
      </c>
      <c r="G43" s="1" cm="1">
        <f t="array" ref="G43">SUM(ABS(B43:E43-B42:E42))</f>
        <v>0</v>
      </c>
      <c r="I43" cm="1">
        <f t="array" ref="I43:L43">TRANSPOSE(MMULT($B$4:$E$7,TRANSPOSE(B43:E43)))</f>
        <v>1</v>
      </c>
      <c r="J43">
        <v>1.5</v>
      </c>
      <c r="K43">
        <v>3</v>
      </c>
      <c r="L43">
        <v>2</v>
      </c>
    </row>
    <row r="44" spans="1:12">
      <c r="A44" s="1" t="s">
        <v>48</v>
      </c>
      <c r="B44" s="1" cm="1">
        <f t="array" ref="B44">INDEX(-1*MMULT(_xlfn.ANCHORARRAY($K$8),(MMULT($B$4:$E$7-$K$4:$N$7,TRANSPOSE(B43:E43))-$H$4:$H$7)),1,1)</f>
        <v>0.0317919075144509</v>
      </c>
      <c r="C44" s="1" cm="1">
        <f t="array" ref="C44">INDEX(-1*MMULT(_xlfn.ANCHORARRAY($K$8),(MMULT($B$4:$E$7-$K$4:$N$7,TRANSPOSE(_xlfn.HSTACK(B44,C43:E43)))-$H$4:$H$7)),2,1)</f>
        <v>0.0977520873474631</v>
      </c>
      <c r="D44" s="1" cm="1">
        <f t="array" ref="D44">INDEX(-1*MMULT(_xlfn.ANCHORARRAY($K$8),(MMULT($B$4:$E$7-$K$4:$N$7,TRANSPOSE(_xlfn.HSTACK(B44:C44,D43:E43)))-$H$4:$H$7)),3,1)</f>
        <v>0.257546563904945</v>
      </c>
      <c r="E44" s="1" cm="1">
        <f t="array" ref="E44">INDEX(-1*MMULT(_xlfn.ANCHORARRAY($K$8),(MMULT($B$4:$E$7-$K$4:$N$7,TRANSPOSE(_xlfn.HSTACK(B44:D44,E43)))-$H$4:$H$7)),4,1)</f>
        <v>0.165446371226718</v>
      </c>
      <c r="G44" s="1" cm="1">
        <f t="array" ref="G44">SUM(ABS(B44:E44-B43:E43))</f>
        <v>0</v>
      </c>
      <c r="I44" cm="1">
        <f t="array" ref="I44:L44">TRANSPOSE(MMULT($B$4:$E$7,TRANSPOSE(B44:E44)))</f>
        <v>1</v>
      </c>
      <c r="J44">
        <v>1.5</v>
      </c>
      <c r="K44">
        <v>3</v>
      </c>
      <c r="L44">
        <v>2</v>
      </c>
    </row>
    <row r="45" spans="1:12">
      <c r="A45" s="1" t="s">
        <v>49</v>
      </c>
      <c r="B45" s="1" cm="1">
        <f t="array" ref="B45">INDEX(-1*MMULT(_xlfn.ANCHORARRAY($K$8),(MMULT($B$4:$E$7-$K$4:$N$7,TRANSPOSE(B44:E44))-$H$4:$H$7)),1,1)</f>
        <v>0.0317919075144509</v>
      </c>
      <c r="C45" s="1" cm="1">
        <f t="array" ref="C45">INDEX(-1*MMULT(_xlfn.ANCHORARRAY($K$8),(MMULT($B$4:$E$7-$K$4:$N$7,TRANSPOSE(_xlfn.HSTACK(B45,C44:E44)))-$H$4:$H$7)),2,1)</f>
        <v>0.0977520873474631</v>
      </c>
      <c r="D45" s="1" cm="1">
        <f t="array" ref="D45">INDEX(-1*MMULT(_xlfn.ANCHORARRAY($K$8),(MMULT($B$4:$E$7-$K$4:$N$7,TRANSPOSE(_xlfn.HSTACK(B45:C45,D44:E44)))-$H$4:$H$7)),3,1)</f>
        <v>0.257546563904945</v>
      </c>
      <c r="E45" s="1" cm="1">
        <f t="array" ref="E45">INDEX(-1*MMULT(_xlfn.ANCHORARRAY($K$8),(MMULT($B$4:$E$7-$K$4:$N$7,TRANSPOSE(_xlfn.HSTACK(B45:D45,E44)))-$H$4:$H$7)),4,1)</f>
        <v>0.165446371226718</v>
      </c>
      <c r="G45" s="1" cm="1">
        <f t="array" ref="G45">SUM(ABS(B45:E45-B44:E44))</f>
        <v>0</v>
      </c>
      <c r="I45" cm="1">
        <f t="array" ref="I45:L45">TRANSPOSE(MMULT($B$4:$E$7,TRANSPOSE(B45:E45)))</f>
        <v>1</v>
      </c>
      <c r="J45">
        <v>1.5</v>
      </c>
      <c r="K45">
        <v>3</v>
      </c>
      <c r="L45">
        <v>2</v>
      </c>
    </row>
    <row r="46" spans="1:12">
      <c r="A46" s="1" t="s">
        <v>50</v>
      </c>
      <c r="B46" s="1" cm="1">
        <f t="array" ref="B46">INDEX(-1*MMULT(_xlfn.ANCHORARRAY($K$8),(MMULT($B$4:$E$7-$K$4:$N$7,TRANSPOSE(B45:E45))-$H$4:$H$7)),1,1)</f>
        <v>0.0317919075144509</v>
      </c>
      <c r="C46" s="1" cm="1">
        <f t="array" ref="C46">INDEX(-1*MMULT(_xlfn.ANCHORARRAY($K$8),(MMULT($B$4:$E$7-$K$4:$N$7,TRANSPOSE(_xlfn.HSTACK(B46,C45:E45)))-$H$4:$H$7)),2,1)</f>
        <v>0.0977520873474631</v>
      </c>
      <c r="D46" s="1" cm="1">
        <f t="array" ref="D46">INDEX(-1*MMULT(_xlfn.ANCHORARRAY($K$8),(MMULT($B$4:$E$7-$K$4:$N$7,TRANSPOSE(_xlfn.HSTACK(B46:C46,D45:E45)))-$H$4:$H$7)),3,1)</f>
        <v>0.257546563904945</v>
      </c>
      <c r="E46" s="1" cm="1">
        <f t="array" ref="E46">INDEX(-1*MMULT(_xlfn.ANCHORARRAY($K$8),(MMULT($B$4:$E$7-$K$4:$N$7,TRANSPOSE(_xlfn.HSTACK(B46:D46,E45)))-$H$4:$H$7)),4,1)</f>
        <v>0.165446371226718</v>
      </c>
      <c r="G46" s="1" cm="1">
        <f t="array" ref="G46">SUM(ABS(B46:E46-B45:E45))</f>
        <v>0</v>
      </c>
      <c r="I46" cm="1">
        <f t="array" ref="I46:L46">TRANSPOSE(MMULT($B$4:$E$7,TRANSPOSE(B46:E46)))</f>
        <v>1</v>
      </c>
      <c r="J46">
        <v>1.5</v>
      </c>
      <c r="K46">
        <v>3</v>
      </c>
      <c r="L46">
        <v>2</v>
      </c>
    </row>
    <row r="47" spans="1:12">
      <c r="A47" s="1" t="s">
        <v>51</v>
      </c>
      <c r="B47" s="1" cm="1">
        <f t="array" ref="B47">INDEX(-1*MMULT(_xlfn.ANCHORARRAY($K$8),(MMULT($B$4:$E$7-$K$4:$N$7,TRANSPOSE(B46:E46))-$H$4:$H$7)),1,1)</f>
        <v>0.0317919075144509</v>
      </c>
      <c r="C47" s="1" cm="1">
        <f t="array" ref="C47">INDEX(-1*MMULT(_xlfn.ANCHORARRAY($K$8),(MMULT($B$4:$E$7-$K$4:$N$7,TRANSPOSE(_xlfn.HSTACK(B47,C46:E46)))-$H$4:$H$7)),2,1)</f>
        <v>0.0977520873474631</v>
      </c>
      <c r="D47" s="1" cm="1">
        <f t="array" ref="D47">INDEX(-1*MMULT(_xlfn.ANCHORARRAY($K$8),(MMULT($B$4:$E$7-$K$4:$N$7,TRANSPOSE(_xlfn.HSTACK(B47:C47,D46:E46)))-$H$4:$H$7)),3,1)</f>
        <v>0.257546563904945</v>
      </c>
      <c r="E47" s="1" cm="1">
        <f t="array" ref="E47">INDEX(-1*MMULT(_xlfn.ANCHORARRAY($K$8),(MMULT($B$4:$E$7-$K$4:$N$7,TRANSPOSE(_xlfn.HSTACK(B47:D47,E46)))-$H$4:$H$7)),4,1)</f>
        <v>0.165446371226718</v>
      </c>
      <c r="G47" s="1" cm="1">
        <f t="array" ref="G47">SUM(ABS(B47:E47-B46:E46))</f>
        <v>0</v>
      </c>
      <c r="I47" cm="1">
        <f t="array" ref="I47:L47">TRANSPOSE(MMULT($B$4:$E$7,TRANSPOSE(B47:E47)))</f>
        <v>1</v>
      </c>
      <c r="J47">
        <v>1.5</v>
      </c>
      <c r="K47">
        <v>3</v>
      </c>
      <c r="L47">
        <v>2</v>
      </c>
    </row>
    <row r="48" spans="1:12">
      <c r="A48" s="1" t="s">
        <v>52</v>
      </c>
      <c r="B48" s="1" cm="1">
        <f t="array" ref="B48">INDEX(-1*MMULT(_xlfn.ANCHORARRAY($K$8),(MMULT($B$4:$E$7-$K$4:$N$7,TRANSPOSE(B47:E47))-$H$4:$H$7)),1,1)</f>
        <v>0.0317919075144509</v>
      </c>
      <c r="C48" s="1" cm="1">
        <f t="array" ref="C48">INDEX(-1*MMULT(_xlfn.ANCHORARRAY($K$8),(MMULT($B$4:$E$7-$K$4:$N$7,TRANSPOSE(_xlfn.HSTACK(B48,C47:E47)))-$H$4:$H$7)),2,1)</f>
        <v>0.0977520873474631</v>
      </c>
      <c r="D48" s="1" cm="1">
        <f t="array" ref="D48">INDEX(-1*MMULT(_xlfn.ANCHORARRAY($K$8),(MMULT($B$4:$E$7-$K$4:$N$7,TRANSPOSE(_xlfn.HSTACK(B48:C48,D47:E47)))-$H$4:$H$7)),3,1)</f>
        <v>0.257546563904945</v>
      </c>
      <c r="E48" s="1" cm="1">
        <f t="array" ref="E48">INDEX(-1*MMULT(_xlfn.ANCHORARRAY($K$8),(MMULT($B$4:$E$7-$K$4:$N$7,TRANSPOSE(_xlfn.HSTACK(B48:D48,E47)))-$H$4:$H$7)),4,1)</f>
        <v>0.165446371226718</v>
      </c>
      <c r="G48" s="1" cm="1">
        <f t="array" ref="G48">SUM(ABS(B48:E48-B47:E47))</f>
        <v>0</v>
      </c>
      <c r="I48" cm="1">
        <f t="array" ref="I48:L48">TRANSPOSE(MMULT($B$4:$E$7,TRANSPOSE(B48:E48)))</f>
        <v>1</v>
      </c>
      <c r="J48">
        <v>1.5</v>
      </c>
      <c r="K48">
        <v>3</v>
      </c>
      <c r="L48">
        <v>2</v>
      </c>
    </row>
    <row r="49" spans="1:12">
      <c r="A49" s="1" t="s">
        <v>53</v>
      </c>
      <c r="B49" s="1" cm="1">
        <f t="array" ref="B49">INDEX(-1*MMULT(_xlfn.ANCHORARRAY($K$8),(MMULT($B$4:$E$7-$K$4:$N$7,TRANSPOSE(B48:E48))-$H$4:$H$7)),1,1)</f>
        <v>0.0317919075144509</v>
      </c>
      <c r="C49" s="1" cm="1">
        <f t="array" ref="C49">INDEX(-1*MMULT(_xlfn.ANCHORARRAY($K$8),(MMULT($B$4:$E$7-$K$4:$N$7,TRANSPOSE(_xlfn.HSTACK(B49,C48:E48)))-$H$4:$H$7)),2,1)</f>
        <v>0.0977520873474631</v>
      </c>
      <c r="D49" s="1" cm="1">
        <f t="array" ref="D49">INDEX(-1*MMULT(_xlfn.ANCHORARRAY($K$8),(MMULT($B$4:$E$7-$K$4:$N$7,TRANSPOSE(_xlfn.HSTACK(B49:C49,D48:E48)))-$H$4:$H$7)),3,1)</f>
        <v>0.257546563904945</v>
      </c>
      <c r="E49" s="1" cm="1">
        <f t="array" ref="E49">INDEX(-1*MMULT(_xlfn.ANCHORARRAY($K$8),(MMULT($B$4:$E$7-$K$4:$N$7,TRANSPOSE(_xlfn.HSTACK(B49:D49,E48)))-$H$4:$H$7)),4,1)</f>
        <v>0.165446371226718</v>
      </c>
      <c r="G49" s="1" cm="1">
        <f t="array" ref="G49">SUM(ABS(B49:E49-B48:E48))</f>
        <v>0</v>
      </c>
      <c r="I49" cm="1">
        <f t="array" ref="I49:L49">TRANSPOSE(MMULT($B$4:$E$7,TRANSPOSE(B49:E49)))</f>
        <v>1</v>
      </c>
      <c r="J49">
        <v>1.5</v>
      </c>
      <c r="K49">
        <v>3</v>
      </c>
      <c r="L49">
        <v>2</v>
      </c>
    </row>
    <row r="50" spans="1:12">
      <c r="A50" s="1" t="s">
        <v>54</v>
      </c>
      <c r="B50" s="1" cm="1">
        <f t="array" ref="B50">INDEX(-1*MMULT(_xlfn.ANCHORARRAY($K$8),(MMULT($B$4:$E$7-$K$4:$N$7,TRANSPOSE(B49:E49))-$H$4:$H$7)),1,1)</f>
        <v>0.0317919075144509</v>
      </c>
      <c r="C50" s="1" cm="1">
        <f t="array" ref="C50">INDEX(-1*MMULT(_xlfn.ANCHORARRAY($K$8),(MMULT($B$4:$E$7-$K$4:$N$7,TRANSPOSE(_xlfn.HSTACK(B50,C49:E49)))-$H$4:$H$7)),2,1)</f>
        <v>0.0977520873474631</v>
      </c>
      <c r="D50" s="1" cm="1">
        <f t="array" ref="D50">INDEX(-1*MMULT(_xlfn.ANCHORARRAY($K$8),(MMULT($B$4:$E$7-$K$4:$N$7,TRANSPOSE(_xlfn.HSTACK(B50:C50,D49:E49)))-$H$4:$H$7)),3,1)</f>
        <v>0.257546563904945</v>
      </c>
      <c r="E50" s="1" cm="1">
        <f t="array" ref="E50">INDEX(-1*MMULT(_xlfn.ANCHORARRAY($K$8),(MMULT($B$4:$E$7-$K$4:$N$7,TRANSPOSE(_xlfn.HSTACK(B50:D50,E49)))-$H$4:$H$7)),4,1)</f>
        <v>0.165446371226718</v>
      </c>
      <c r="G50" s="1" cm="1">
        <f t="array" ref="G50">SUM(ABS(B50:E50-B49:E49))</f>
        <v>0</v>
      </c>
      <c r="I50" cm="1">
        <f t="array" ref="I50:L50">TRANSPOSE(MMULT($B$4:$E$7,TRANSPOSE(B50:E50)))</f>
        <v>1</v>
      </c>
      <c r="J50">
        <v>1.5</v>
      </c>
      <c r="K50">
        <v>3</v>
      </c>
      <c r="L50">
        <v>2</v>
      </c>
    </row>
    <row r="51" spans="1:12">
      <c r="A51" s="1" t="s">
        <v>55</v>
      </c>
      <c r="B51" s="1" cm="1">
        <f t="array" ref="B51">INDEX(-1*MMULT(_xlfn.ANCHORARRAY($K$8),(MMULT($B$4:$E$7-$K$4:$N$7,TRANSPOSE(B50:E50))-$H$4:$H$7)),1,1)</f>
        <v>0.0317919075144509</v>
      </c>
      <c r="C51" s="1" cm="1">
        <f t="array" ref="C51">INDEX(-1*MMULT(_xlfn.ANCHORARRAY($K$8),(MMULT($B$4:$E$7-$K$4:$N$7,TRANSPOSE(_xlfn.HSTACK(B51,C50:E50)))-$H$4:$H$7)),2,1)</f>
        <v>0.0977520873474631</v>
      </c>
      <c r="D51" s="1" cm="1">
        <f t="array" ref="D51">INDEX(-1*MMULT(_xlfn.ANCHORARRAY($K$8),(MMULT($B$4:$E$7-$K$4:$N$7,TRANSPOSE(_xlfn.HSTACK(B51:C51,D50:E50)))-$H$4:$H$7)),3,1)</f>
        <v>0.257546563904945</v>
      </c>
      <c r="E51" s="1" cm="1">
        <f t="array" ref="E51">INDEX(-1*MMULT(_xlfn.ANCHORARRAY($K$8),(MMULT($B$4:$E$7-$K$4:$N$7,TRANSPOSE(_xlfn.HSTACK(B51:D51,E50)))-$H$4:$H$7)),4,1)</f>
        <v>0.165446371226718</v>
      </c>
      <c r="G51" s="1" cm="1">
        <f t="array" ref="G51">SUM(ABS(B51:E51-B50:E50))</f>
        <v>0</v>
      </c>
      <c r="I51" cm="1">
        <f t="array" ref="I51:L51">TRANSPOSE(MMULT($B$4:$E$7,TRANSPOSE(B51:E51)))</f>
        <v>1</v>
      </c>
      <c r="J51">
        <v>1.5</v>
      </c>
      <c r="K51">
        <v>3</v>
      </c>
      <c r="L51">
        <v>2</v>
      </c>
    </row>
    <row r="52" spans="1:12">
      <c r="A52" s="1" t="s">
        <v>56</v>
      </c>
      <c r="B52" s="1" cm="1">
        <f t="array" ref="B52">INDEX(-1*MMULT(_xlfn.ANCHORARRAY($K$8),(MMULT($B$4:$E$7-$K$4:$N$7,TRANSPOSE(B51:E51))-$H$4:$H$7)),1,1)</f>
        <v>0.0317919075144509</v>
      </c>
      <c r="C52" s="1" cm="1">
        <f t="array" ref="C52">INDEX(-1*MMULT(_xlfn.ANCHORARRAY($K$8),(MMULT($B$4:$E$7-$K$4:$N$7,TRANSPOSE(_xlfn.HSTACK(B52,C51:E51)))-$H$4:$H$7)),2,1)</f>
        <v>0.0977520873474631</v>
      </c>
      <c r="D52" s="1" cm="1">
        <f t="array" ref="D52">INDEX(-1*MMULT(_xlfn.ANCHORARRAY($K$8),(MMULT($B$4:$E$7-$K$4:$N$7,TRANSPOSE(_xlfn.HSTACK(B52:C52,D51:E51)))-$H$4:$H$7)),3,1)</f>
        <v>0.257546563904945</v>
      </c>
      <c r="E52" s="1" cm="1">
        <f t="array" ref="E52">INDEX(-1*MMULT(_xlfn.ANCHORARRAY($K$8),(MMULT($B$4:$E$7-$K$4:$N$7,TRANSPOSE(_xlfn.HSTACK(B52:D52,E51)))-$H$4:$H$7)),4,1)</f>
        <v>0.165446371226718</v>
      </c>
      <c r="G52" s="1" cm="1">
        <f t="array" ref="G52">SUM(ABS(B52:E52-B51:E51))</f>
        <v>0</v>
      </c>
      <c r="I52" cm="1">
        <f t="array" ref="I52:L52">TRANSPOSE(MMULT($B$4:$E$7,TRANSPOSE(B52:E52)))</f>
        <v>1</v>
      </c>
      <c r="J52">
        <v>1.5</v>
      </c>
      <c r="K52">
        <v>3</v>
      </c>
      <c r="L52">
        <v>2</v>
      </c>
    </row>
    <row r="53" spans="1:12">
      <c r="A53" s="1" t="s">
        <v>57</v>
      </c>
      <c r="B53" s="1" cm="1">
        <f t="array" ref="B53">INDEX(-1*MMULT(_xlfn.ANCHORARRAY($K$8),(MMULT($B$4:$E$7-$K$4:$N$7,TRANSPOSE(B52:E52))-$H$4:$H$7)),1,1)</f>
        <v>0.0317919075144509</v>
      </c>
      <c r="C53" s="1" cm="1">
        <f t="array" ref="C53">INDEX(-1*MMULT(_xlfn.ANCHORARRAY($K$8),(MMULT($B$4:$E$7-$K$4:$N$7,TRANSPOSE(_xlfn.HSTACK(B53,C52:E52)))-$H$4:$H$7)),2,1)</f>
        <v>0.0977520873474631</v>
      </c>
      <c r="D53" s="1" cm="1">
        <f t="array" ref="D53">INDEX(-1*MMULT(_xlfn.ANCHORARRAY($K$8),(MMULT($B$4:$E$7-$K$4:$N$7,TRANSPOSE(_xlfn.HSTACK(B53:C53,D52:E52)))-$H$4:$H$7)),3,1)</f>
        <v>0.257546563904945</v>
      </c>
      <c r="E53" s="1" cm="1">
        <f t="array" ref="E53">INDEX(-1*MMULT(_xlfn.ANCHORARRAY($K$8),(MMULT($B$4:$E$7-$K$4:$N$7,TRANSPOSE(_xlfn.HSTACK(B53:D53,E52)))-$H$4:$H$7)),4,1)</f>
        <v>0.165446371226718</v>
      </c>
      <c r="G53" s="1" cm="1">
        <f t="array" ref="G53">SUM(ABS(B53:E53-B52:E52))</f>
        <v>0</v>
      </c>
      <c r="I53" cm="1">
        <f t="array" ref="I53:L53">TRANSPOSE(MMULT($B$4:$E$7,TRANSPOSE(B53:E53)))</f>
        <v>1</v>
      </c>
      <c r="J53">
        <v>1.5</v>
      </c>
      <c r="K53">
        <v>3</v>
      </c>
      <c r="L53">
        <v>2</v>
      </c>
    </row>
    <row r="54" spans="1:12">
      <c r="A54" s="1" t="s">
        <v>58</v>
      </c>
      <c r="B54" s="1" cm="1">
        <f t="array" ref="B54">INDEX(-1*MMULT(_xlfn.ANCHORARRAY($K$8),(MMULT($B$4:$E$7-$K$4:$N$7,TRANSPOSE(B53:E53))-$H$4:$H$7)),1,1)</f>
        <v>0.0317919075144509</v>
      </c>
      <c r="C54" s="1" cm="1">
        <f t="array" ref="C54">INDEX(-1*MMULT(_xlfn.ANCHORARRAY($K$8),(MMULT($B$4:$E$7-$K$4:$N$7,TRANSPOSE(_xlfn.HSTACK(B54,C53:E53)))-$H$4:$H$7)),2,1)</f>
        <v>0.0977520873474631</v>
      </c>
      <c r="D54" s="1" cm="1">
        <f t="array" ref="D54">INDEX(-1*MMULT(_xlfn.ANCHORARRAY($K$8),(MMULT($B$4:$E$7-$K$4:$N$7,TRANSPOSE(_xlfn.HSTACK(B54:C54,D53:E53)))-$H$4:$H$7)),3,1)</f>
        <v>0.257546563904945</v>
      </c>
      <c r="E54" s="1" cm="1">
        <f t="array" ref="E54">INDEX(-1*MMULT(_xlfn.ANCHORARRAY($K$8),(MMULT($B$4:$E$7-$K$4:$N$7,TRANSPOSE(_xlfn.HSTACK(B54:D54,E53)))-$H$4:$H$7)),4,1)</f>
        <v>0.165446371226718</v>
      </c>
      <c r="G54" s="1" cm="1">
        <f t="array" ref="G54">SUM(ABS(B54:E54-B53:E53))</f>
        <v>0</v>
      </c>
      <c r="I54" cm="1">
        <f t="array" ref="I54:L54">TRANSPOSE(MMULT($B$4:$E$7,TRANSPOSE(B54:E54)))</f>
        <v>1</v>
      </c>
      <c r="J54">
        <v>1.5</v>
      </c>
      <c r="K54">
        <v>3</v>
      </c>
      <c r="L54">
        <v>2</v>
      </c>
    </row>
    <row r="55" spans="1:12">
      <c r="A55" s="1" t="s">
        <v>59</v>
      </c>
      <c r="B55" s="1" cm="1">
        <f t="array" ref="B55">INDEX(-1*MMULT(_xlfn.ANCHORARRAY($K$8),(MMULT($B$4:$E$7-$K$4:$N$7,TRANSPOSE(B54:E54))-$H$4:$H$7)),1,1)</f>
        <v>0.0317919075144509</v>
      </c>
      <c r="C55" s="1" cm="1">
        <f t="array" ref="C55">INDEX(-1*MMULT(_xlfn.ANCHORARRAY($K$8),(MMULT($B$4:$E$7-$K$4:$N$7,TRANSPOSE(_xlfn.HSTACK(B55,C54:E54)))-$H$4:$H$7)),2,1)</f>
        <v>0.0977520873474631</v>
      </c>
      <c r="D55" s="1" cm="1">
        <f t="array" ref="D55">INDEX(-1*MMULT(_xlfn.ANCHORARRAY($K$8),(MMULT($B$4:$E$7-$K$4:$N$7,TRANSPOSE(_xlfn.HSTACK(B55:C55,D54:E54)))-$H$4:$H$7)),3,1)</f>
        <v>0.257546563904945</v>
      </c>
      <c r="E55" s="1" cm="1">
        <f t="array" ref="E55">INDEX(-1*MMULT(_xlfn.ANCHORARRAY($K$8),(MMULT($B$4:$E$7-$K$4:$N$7,TRANSPOSE(_xlfn.HSTACK(B55:D55,E54)))-$H$4:$H$7)),4,1)</f>
        <v>0.165446371226718</v>
      </c>
      <c r="G55" s="1" cm="1">
        <f t="array" ref="G55">SUM(ABS(B55:E55-B54:E54))</f>
        <v>0</v>
      </c>
      <c r="I55" cm="1">
        <f t="array" ref="I55:L55">TRANSPOSE(MMULT($B$4:$E$7,TRANSPOSE(B55:E55)))</f>
        <v>1</v>
      </c>
      <c r="J55">
        <v>1.5</v>
      </c>
      <c r="K55">
        <v>3</v>
      </c>
      <c r="L55">
        <v>2</v>
      </c>
    </row>
    <row r="56" spans="1:12">
      <c r="A56" s="1" t="s">
        <v>60</v>
      </c>
      <c r="B56" s="1" cm="1">
        <f t="array" ref="B56">INDEX(-1*MMULT(_xlfn.ANCHORARRAY($K$8),(MMULT($B$4:$E$7-$K$4:$N$7,TRANSPOSE(B55:E55))-$H$4:$H$7)),1,1)</f>
        <v>0.0317919075144509</v>
      </c>
      <c r="C56" s="1" cm="1">
        <f t="array" ref="C56">INDEX(-1*MMULT(_xlfn.ANCHORARRAY($K$8),(MMULT($B$4:$E$7-$K$4:$N$7,TRANSPOSE(_xlfn.HSTACK(B56,C55:E55)))-$H$4:$H$7)),2,1)</f>
        <v>0.0977520873474631</v>
      </c>
      <c r="D56" s="1" cm="1">
        <f t="array" ref="D56">INDEX(-1*MMULT(_xlfn.ANCHORARRAY($K$8),(MMULT($B$4:$E$7-$K$4:$N$7,TRANSPOSE(_xlfn.HSTACK(B56:C56,D55:E55)))-$H$4:$H$7)),3,1)</f>
        <v>0.257546563904945</v>
      </c>
      <c r="E56" s="1" cm="1">
        <f t="array" ref="E56">INDEX(-1*MMULT(_xlfn.ANCHORARRAY($K$8),(MMULT($B$4:$E$7-$K$4:$N$7,TRANSPOSE(_xlfn.HSTACK(B56:D56,E55)))-$H$4:$H$7)),4,1)</f>
        <v>0.165446371226718</v>
      </c>
      <c r="G56" s="1" cm="1">
        <f t="array" ref="G56">SUM(ABS(B56:E56-B55:E55))</f>
        <v>0</v>
      </c>
      <c r="I56" cm="1">
        <f t="array" ref="I56:L56">TRANSPOSE(MMULT($B$4:$E$7,TRANSPOSE(B56:E56)))</f>
        <v>1</v>
      </c>
      <c r="J56">
        <v>1.5</v>
      </c>
      <c r="K56">
        <v>3</v>
      </c>
      <c r="L56">
        <v>2</v>
      </c>
    </row>
    <row r="57" spans="1:12">
      <c r="A57" s="1" t="s">
        <v>61</v>
      </c>
      <c r="B57" s="1" cm="1">
        <f t="array" ref="B57">INDEX(-1*MMULT(_xlfn.ANCHORARRAY($K$8),(MMULT($B$4:$E$7-$K$4:$N$7,TRANSPOSE(B56:E56))-$H$4:$H$7)),1,1)</f>
        <v>0.0317919075144509</v>
      </c>
      <c r="C57" s="1" cm="1">
        <f t="array" ref="C57">INDEX(-1*MMULT(_xlfn.ANCHORARRAY($K$8),(MMULT($B$4:$E$7-$K$4:$N$7,TRANSPOSE(_xlfn.HSTACK(B57,C56:E56)))-$H$4:$H$7)),2,1)</f>
        <v>0.0977520873474631</v>
      </c>
      <c r="D57" s="1" cm="1">
        <f t="array" ref="D57">INDEX(-1*MMULT(_xlfn.ANCHORARRAY($K$8),(MMULT($B$4:$E$7-$K$4:$N$7,TRANSPOSE(_xlfn.HSTACK(B57:C57,D56:E56)))-$H$4:$H$7)),3,1)</f>
        <v>0.257546563904945</v>
      </c>
      <c r="E57" s="1" cm="1">
        <f t="array" ref="E57">INDEX(-1*MMULT(_xlfn.ANCHORARRAY($K$8),(MMULT($B$4:$E$7-$K$4:$N$7,TRANSPOSE(_xlfn.HSTACK(B57:D57,E56)))-$H$4:$H$7)),4,1)</f>
        <v>0.165446371226718</v>
      </c>
      <c r="G57" s="1" cm="1">
        <f t="array" ref="G57">SUM(ABS(B57:E57-B56:E56))</f>
        <v>0</v>
      </c>
      <c r="I57" cm="1">
        <f t="array" ref="I57:L57">TRANSPOSE(MMULT($B$4:$E$7,TRANSPOSE(B57:E57)))</f>
        <v>1</v>
      </c>
      <c r="J57">
        <v>1.5</v>
      </c>
      <c r="K57">
        <v>3</v>
      </c>
      <c r="L57">
        <v>2</v>
      </c>
    </row>
    <row r="58" spans="1:12">
      <c r="A58" s="1" t="s">
        <v>62</v>
      </c>
      <c r="B58" s="1" cm="1">
        <f t="array" ref="B58">INDEX(-1*MMULT(_xlfn.ANCHORARRAY($K$8),(MMULT($B$4:$E$7-$K$4:$N$7,TRANSPOSE(B57:E57))-$H$4:$H$7)),1,1)</f>
        <v>0.0317919075144509</v>
      </c>
      <c r="C58" s="1" cm="1">
        <f t="array" ref="C58">INDEX(-1*MMULT(_xlfn.ANCHORARRAY($K$8),(MMULT($B$4:$E$7-$K$4:$N$7,TRANSPOSE(_xlfn.HSTACK(B58,C57:E57)))-$H$4:$H$7)),2,1)</f>
        <v>0.0977520873474631</v>
      </c>
      <c r="D58" s="1" cm="1">
        <f t="array" ref="D58">INDEX(-1*MMULT(_xlfn.ANCHORARRAY($K$8),(MMULT($B$4:$E$7-$K$4:$N$7,TRANSPOSE(_xlfn.HSTACK(B58:C58,D57:E57)))-$H$4:$H$7)),3,1)</f>
        <v>0.257546563904945</v>
      </c>
      <c r="E58" s="1" cm="1">
        <f t="array" ref="E58">INDEX(-1*MMULT(_xlfn.ANCHORARRAY($K$8),(MMULT($B$4:$E$7-$K$4:$N$7,TRANSPOSE(_xlfn.HSTACK(B58:D58,E57)))-$H$4:$H$7)),4,1)</f>
        <v>0.165446371226718</v>
      </c>
      <c r="G58" s="1" cm="1">
        <f t="array" ref="G58">SUM(ABS(B58:E58-B57:E57))</f>
        <v>0</v>
      </c>
      <c r="I58" cm="1">
        <f t="array" ref="I58:L58">TRANSPOSE(MMULT($B$4:$E$7,TRANSPOSE(B58:E58)))</f>
        <v>1</v>
      </c>
      <c r="J58">
        <v>1.5</v>
      </c>
      <c r="K58">
        <v>3</v>
      </c>
      <c r="L58">
        <v>2</v>
      </c>
    </row>
    <row r="59" spans="1:12">
      <c r="A59" s="1" t="s">
        <v>63</v>
      </c>
      <c r="B59" s="1" cm="1">
        <f t="array" ref="B59">INDEX(-1*MMULT(_xlfn.ANCHORARRAY($K$8),(MMULT($B$4:$E$7-$K$4:$N$7,TRANSPOSE(B58:E58))-$H$4:$H$7)),1,1)</f>
        <v>0.0317919075144509</v>
      </c>
      <c r="C59" s="1" cm="1">
        <f t="array" ref="C59">INDEX(-1*MMULT(_xlfn.ANCHORARRAY($K$8),(MMULT($B$4:$E$7-$K$4:$N$7,TRANSPOSE(_xlfn.HSTACK(B59,C58:E58)))-$H$4:$H$7)),2,1)</f>
        <v>0.0977520873474631</v>
      </c>
      <c r="D59" s="1" cm="1">
        <f t="array" ref="D59">INDEX(-1*MMULT(_xlfn.ANCHORARRAY($K$8),(MMULT($B$4:$E$7-$K$4:$N$7,TRANSPOSE(_xlfn.HSTACK(B59:C59,D58:E58)))-$H$4:$H$7)),3,1)</f>
        <v>0.257546563904945</v>
      </c>
      <c r="E59" s="1" cm="1">
        <f t="array" ref="E59">INDEX(-1*MMULT(_xlfn.ANCHORARRAY($K$8),(MMULT($B$4:$E$7-$K$4:$N$7,TRANSPOSE(_xlfn.HSTACK(B59:D59,E58)))-$H$4:$H$7)),4,1)</f>
        <v>0.165446371226718</v>
      </c>
      <c r="G59" s="1" cm="1">
        <f t="array" ref="G59">SUM(ABS(B59:E59-B58:E58))</f>
        <v>0</v>
      </c>
      <c r="I59" cm="1">
        <f t="array" ref="I59:L59">TRANSPOSE(MMULT($B$4:$E$7,TRANSPOSE(B59:E59)))</f>
        <v>1</v>
      </c>
      <c r="J59">
        <v>1.5</v>
      </c>
      <c r="K59">
        <v>3</v>
      </c>
      <c r="L59">
        <v>2</v>
      </c>
    </row>
    <row r="60" spans="1:12">
      <c r="A60" s="1" t="s">
        <v>64</v>
      </c>
      <c r="B60" s="1" cm="1">
        <f t="array" ref="B60">INDEX(-1*MMULT(_xlfn.ANCHORARRAY($K$8),(MMULT($B$4:$E$7-$K$4:$N$7,TRANSPOSE(B59:E59))-$H$4:$H$7)),1,1)</f>
        <v>0.0317919075144509</v>
      </c>
      <c r="C60" s="1" cm="1">
        <f t="array" ref="C60">INDEX(-1*MMULT(_xlfn.ANCHORARRAY($K$8),(MMULT($B$4:$E$7-$K$4:$N$7,TRANSPOSE(_xlfn.HSTACK(B60,C59:E59)))-$H$4:$H$7)),2,1)</f>
        <v>0.0977520873474631</v>
      </c>
      <c r="D60" s="1" cm="1">
        <f t="array" ref="D60">INDEX(-1*MMULT(_xlfn.ANCHORARRAY($K$8),(MMULT($B$4:$E$7-$K$4:$N$7,TRANSPOSE(_xlfn.HSTACK(B60:C60,D59:E59)))-$H$4:$H$7)),3,1)</f>
        <v>0.257546563904945</v>
      </c>
      <c r="E60" s="1" cm="1">
        <f t="array" ref="E60">INDEX(-1*MMULT(_xlfn.ANCHORARRAY($K$8),(MMULT($B$4:$E$7-$K$4:$N$7,TRANSPOSE(_xlfn.HSTACK(B60:D60,E59)))-$H$4:$H$7)),4,1)</f>
        <v>0.165446371226718</v>
      </c>
      <c r="G60" s="1" cm="1">
        <f t="array" ref="G60">SUM(ABS(B60:E60-B59:E59))</f>
        <v>0</v>
      </c>
      <c r="I60" cm="1">
        <f t="array" ref="I60:L60">TRANSPOSE(MMULT($B$4:$E$7,TRANSPOSE(B60:E60)))</f>
        <v>1</v>
      </c>
      <c r="J60">
        <v>1.5</v>
      </c>
      <c r="K60">
        <v>3</v>
      </c>
      <c r="L60">
        <v>2</v>
      </c>
    </row>
    <row r="61" spans="1:12">
      <c r="A61" s="1" t="s">
        <v>65</v>
      </c>
      <c r="B61" s="1" cm="1">
        <f t="array" ref="B61">INDEX(-1*MMULT(_xlfn.ANCHORARRAY($K$8),(MMULT($B$4:$E$7-$K$4:$N$7,TRANSPOSE(B60:E60))-$H$4:$H$7)),1,1)</f>
        <v>0.0317919075144509</v>
      </c>
      <c r="C61" s="1" cm="1">
        <f t="array" ref="C61">INDEX(-1*MMULT(_xlfn.ANCHORARRAY($K$8),(MMULT($B$4:$E$7-$K$4:$N$7,TRANSPOSE(_xlfn.HSTACK(B61,C60:E60)))-$H$4:$H$7)),2,1)</f>
        <v>0.0977520873474631</v>
      </c>
      <c r="D61" s="1" cm="1">
        <f t="array" ref="D61">INDEX(-1*MMULT(_xlfn.ANCHORARRAY($K$8),(MMULT($B$4:$E$7-$K$4:$N$7,TRANSPOSE(_xlfn.HSTACK(B61:C61,D60:E60)))-$H$4:$H$7)),3,1)</f>
        <v>0.257546563904945</v>
      </c>
      <c r="E61" s="1" cm="1">
        <f t="array" ref="E61">INDEX(-1*MMULT(_xlfn.ANCHORARRAY($K$8),(MMULT($B$4:$E$7-$K$4:$N$7,TRANSPOSE(_xlfn.HSTACK(B61:D61,E60)))-$H$4:$H$7)),4,1)</f>
        <v>0.165446371226718</v>
      </c>
      <c r="G61" s="1" cm="1">
        <f t="array" ref="G61">SUM(ABS(B61:E61-B60:E60))</f>
        <v>0</v>
      </c>
      <c r="I61" cm="1">
        <f t="array" ref="I61:L61">TRANSPOSE(MMULT($B$4:$E$7,TRANSPOSE(B61:E61)))</f>
        <v>1</v>
      </c>
      <c r="J61">
        <v>1.5</v>
      </c>
      <c r="K61">
        <v>3</v>
      </c>
      <c r="L61">
        <v>2</v>
      </c>
    </row>
    <row r="62" spans="1:12">
      <c r="A62" s="1" t="s">
        <v>66</v>
      </c>
      <c r="B62" s="1" cm="1">
        <f t="array" ref="B62">INDEX(-1*MMULT(_xlfn.ANCHORARRAY($K$8),(MMULT($B$4:$E$7-$K$4:$N$7,TRANSPOSE(B61:E61))-$H$4:$H$7)),1,1)</f>
        <v>0.0317919075144509</v>
      </c>
      <c r="C62" s="1" cm="1">
        <f t="array" ref="C62">INDEX(-1*MMULT(_xlfn.ANCHORARRAY($K$8),(MMULT($B$4:$E$7-$K$4:$N$7,TRANSPOSE(_xlfn.HSTACK(B62,C61:E61)))-$H$4:$H$7)),2,1)</f>
        <v>0.0977520873474631</v>
      </c>
      <c r="D62" s="1" cm="1">
        <f t="array" ref="D62">INDEX(-1*MMULT(_xlfn.ANCHORARRAY($K$8),(MMULT($B$4:$E$7-$K$4:$N$7,TRANSPOSE(_xlfn.HSTACK(B62:C62,D61:E61)))-$H$4:$H$7)),3,1)</f>
        <v>0.257546563904945</v>
      </c>
      <c r="E62" s="1" cm="1">
        <f t="array" ref="E62">INDEX(-1*MMULT(_xlfn.ANCHORARRAY($K$8),(MMULT($B$4:$E$7-$K$4:$N$7,TRANSPOSE(_xlfn.HSTACK(B62:D62,E61)))-$H$4:$H$7)),4,1)</f>
        <v>0.165446371226718</v>
      </c>
      <c r="G62" s="1" cm="1">
        <f t="array" ref="G62">SUM(ABS(B62:E62-B61:E61))</f>
        <v>0</v>
      </c>
      <c r="I62" cm="1">
        <f t="array" ref="I62:L62">TRANSPOSE(MMULT($B$4:$E$7,TRANSPOSE(B62:E62)))</f>
        <v>1</v>
      </c>
      <c r="J62">
        <v>1.5</v>
      </c>
      <c r="K62">
        <v>3</v>
      </c>
      <c r="L62">
        <v>2</v>
      </c>
    </row>
    <row r="63" spans="1:12">
      <c r="A63" s="1" t="s">
        <v>67</v>
      </c>
      <c r="B63" s="1" cm="1">
        <f t="array" ref="B63">INDEX(-1*MMULT(_xlfn.ANCHORARRAY($K$8),(MMULT($B$4:$E$7-$K$4:$N$7,TRANSPOSE(B62:E62))-$H$4:$H$7)),1,1)</f>
        <v>0.0317919075144509</v>
      </c>
      <c r="C63" s="1" cm="1">
        <f t="array" ref="C63">INDEX(-1*MMULT(_xlfn.ANCHORARRAY($K$8),(MMULT($B$4:$E$7-$K$4:$N$7,TRANSPOSE(_xlfn.HSTACK(B63,C62:E62)))-$H$4:$H$7)),2,1)</f>
        <v>0.0977520873474631</v>
      </c>
      <c r="D63" s="1" cm="1">
        <f t="array" ref="D63">INDEX(-1*MMULT(_xlfn.ANCHORARRAY($K$8),(MMULT($B$4:$E$7-$K$4:$N$7,TRANSPOSE(_xlfn.HSTACK(B63:C63,D62:E62)))-$H$4:$H$7)),3,1)</f>
        <v>0.257546563904945</v>
      </c>
      <c r="E63" s="1" cm="1">
        <f t="array" ref="E63">INDEX(-1*MMULT(_xlfn.ANCHORARRAY($K$8),(MMULT($B$4:$E$7-$K$4:$N$7,TRANSPOSE(_xlfn.HSTACK(B63:D63,E62)))-$H$4:$H$7)),4,1)</f>
        <v>0.165446371226718</v>
      </c>
      <c r="G63" s="1" cm="1">
        <f t="array" ref="G63">SUM(ABS(B63:E63-B62:E62))</f>
        <v>0</v>
      </c>
      <c r="I63" cm="1">
        <f t="array" ref="I63:L63">TRANSPOSE(MMULT($B$4:$E$7,TRANSPOSE(B63:E63)))</f>
        <v>1</v>
      </c>
      <c r="J63">
        <v>1.5</v>
      </c>
      <c r="K63">
        <v>3</v>
      </c>
      <c r="L63">
        <v>2</v>
      </c>
    </row>
    <row r="64" spans="1:12">
      <c r="A64" s="1" t="s">
        <v>68</v>
      </c>
      <c r="B64" s="1" cm="1">
        <f t="array" ref="B64">INDEX(-1*MMULT(_xlfn.ANCHORARRAY($K$8),(MMULT($B$4:$E$7-$K$4:$N$7,TRANSPOSE(B63:E63))-$H$4:$H$7)),1,1)</f>
        <v>0.0317919075144509</v>
      </c>
      <c r="C64" s="1" cm="1">
        <f t="array" ref="C64">INDEX(-1*MMULT(_xlfn.ANCHORARRAY($K$8),(MMULT($B$4:$E$7-$K$4:$N$7,TRANSPOSE(_xlfn.HSTACK(B64,C63:E63)))-$H$4:$H$7)),2,1)</f>
        <v>0.0977520873474631</v>
      </c>
      <c r="D64" s="1" cm="1">
        <f t="array" ref="D64">INDEX(-1*MMULT(_xlfn.ANCHORARRAY($K$8),(MMULT($B$4:$E$7-$K$4:$N$7,TRANSPOSE(_xlfn.HSTACK(B64:C64,D63:E63)))-$H$4:$H$7)),3,1)</f>
        <v>0.257546563904945</v>
      </c>
      <c r="E64" s="1" cm="1">
        <f t="array" ref="E64">INDEX(-1*MMULT(_xlfn.ANCHORARRAY($K$8),(MMULT($B$4:$E$7-$K$4:$N$7,TRANSPOSE(_xlfn.HSTACK(B64:D64,E63)))-$H$4:$H$7)),4,1)</f>
        <v>0.165446371226718</v>
      </c>
      <c r="G64" s="1" cm="1">
        <f t="array" ref="G64">SUM(ABS(B64:E64-B63:E63))</f>
        <v>0</v>
      </c>
      <c r="I64" cm="1">
        <f t="array" ref="I64:L64">TRANSPOSE(MMULT($B$4:$E$7,TRANSPOSE(B64:E64)))</f>
        <v>1</v>
      </c>
      <c r="J64">
        <v>1.5</v>
      </c>
      <c r="K64">
        <v>3</v>
      </c>
      <c r="L64">
        <v>2</v>
      </c>
    </row>
    <row r="65" spans="1:12">
      <c r="A65" s="1" t="s">
        <v>69</v>
      </c>
      <c r="B65" s="1" cm="1">
        <f t="array" ref="B65">INDEX(-1*MMULT(_xlfn.ANCHORARRAY($K$8),(MMULT($B$4:$E$7-$K$4:$N$7,TRANSPOSE(B64:E64))-$H$4:$H$7)),1,1)</f>
        <v>0.0317919075144509</v>
      </c>
      <c r="C65" s="1" cm="1">
        <f t="array" ref="C65">INDEX(-1*MMULT(_xlfn.ANCHORARRAY($K$8),(MMULT($B$4:$E$7-$K$4:$N$7,TRANSPOSE(_xlfn.HSTACK(B65,C64:E64)))-$H$4:$H$7)),2,1)</f>
        <v>0.0977520873474631</v>
      </c>
      <c r="D65" s="1" cm="1">
        <f t="array" ref="D65">INDEX(-1*MMULT(_xlfn.ANCHORARRAY($K$8),(MMULT($B$4:$E$7-$K$4:$N$7,TRANSPOSE(_xlfn.HSTACK(B65:C65,D64:E64)))-$H$4:$H$7)),3,1)</f>
        <v>0.257546563904945</v>
      </c>
      <c r="E65" s="1" cm="1">
        <f t="array" ref="E65">INDEX(-1*MMULT(_xlfn.ANCHORARRAY($K$8),(MMULT($B$4:$E$7-$K$4:$N$7,TRANSPOSE(_xlfn.HSTACK(B65:D65,E64)))-$H$4:$H$7)),4,1)</f>
        <v>0.165446371226718</v>
      </c>
      <c r="G65" s="1" cm="1">
        <f t="array" ref="G65">SUM(ABS(B65:E65-B64:E64))</f>
        <v>0</v>
      </c>
      <c r="I65" cm="1">
        <f t="array" ref="I65:L65">TRANSPOSE(MMULT($B$4:$E$7,TRANSPOSE(B65:E65)))</f>
        <v>1</v>
      </c>
      <c r="J65">
        <v>1.5</v>
      </c>
      <c r="K65">
        <v>3</v>
      </c>
      <c r="L65">
        <v>2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Equation.DSMT4" r:id="rId3">
          <objectPr defaultSize="0" r:id="rId4">
            <anchor moveWithCells="1">
              <from>
                <xdr:col>0</xdr:col>
                <xdr:colOff>1044575</xdr:colOff>
                <xdr:row>10</xdr:row>
                <xdr:rowOff>104140</xdr:rowOff>
              </from>
              <to>
                <xdr:col>4</xdr:col>
                <xdr:colOff>886460</xdr:colOff>
                <xdr:row>12</xdr:row>
                <xdr:rowOff>46990</xdr:rowOff>
              </to>
            </anchor>
          </objectPr>
        </oleObject>
      </mc:Choice>
      <mc:Fallback>
        <oleObject shapeId="2049" progId="Equation.DSMT4" r:id="rId3"/>
      </mc:Fallback>
    </mc:AlternateContent>
    <mc:AlternateContent xmlns:mc="http://schemas.openxmlformats.org/markup-compatibility/2006">
      <mc:Choice Requires="x14">
        <oleObject shapeId="2050" progId="Equation.DSMT4" r:id="rId5">
          <objectPr defaultSize="0" r:id="rId6">
            <anchor moveWithCells="1">
              <from>
                <xdr:col>1</xdr:col>
                <xdr:colOff>57150</xdr:colOff>
                <xdr:row>0</xdr:row>
                <xdr:rowOff>67310</xdr:rowOff>
              </from>
              <to>
                <xdr:col>2</xdr:col>
                <xdr:colOff>0</xdr:colOff>
                <xdr:row>2</xdr:row>
                <xdr:rowOff>57150</xdr:rowOff>
              </to>
            </anchor>
          </objectPr>
        </oleObject>
      </mc:Choice>
      <mc:Fallback>
        <oleObject shapeId="2050" progId="Equation.DSMT4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L19" sqref="L19"/>
    </sheetView>
  </sheetViews>
  <sheetFormatPr defaultColWidth="9" defaultRowHeight="16.8"/>
  <cols>
    <col min="12" max="12" width="14.0769230769231"/>
    <col min="17" max="17" width="12.9230769230769"/>
  </cols>
  <sheetData>
    <row r="1" spans="1:17">
      <c r="Q1" s="1"/>
    </row>
    <row r="2" spans="1:17">
      <c r="A2" t="s">
        <v>0</v>
      </c>
      <c r="Q2" s="1"/>
    </row>
    <row r="3" spans="1:17">
      <c r="P3" t="s">
        <v>72</v>
      </c>
      <c r="Q3" s="1" t="s">
        <v>1</v>
      </c>
    </row>
    <row r="4" spans="1:17">
      <c r="B4" s="2">
        <v>12</v>
      </c>
      <c r="C4" s="3">
        <v>2</v>
      </c>
      <c r="D4" s="3">
        <v>1</v>
      </c>
      <c r="E4" s="4">
        <v>1</v>
      </c>
      <c r="H4" s="5">
        <v>1</v>
      </c>
      <c r="K4" t="s">
        <v>73</v>
      </c>
      <c r="L4" s="6" cm="1">
        <f t="array" ref="L4:O7">MINVERSE(B4:E7)</f>
        <v>0.0867052023121387</v>
      </c>
      <c r="M4" s="7">
        <v>-0.0173410404624277</v>
      </c>
      <c r="N4" s="7">
        <v>-0.00578034682080925</v>
      </c>
      <c r="O4" s="8">
        <v>-0.00578034682080925</v>
      </c>
      <c r="Q4" s="5" cm="1">
        <f t="array" ref="Q4:Q7">MMULT(_xlfn.ANCHORARRAY(L4),H4:H7)</f>
        <v>0.0317919075144509</v>
      </c>
    </row>
    <row r="5" spans="1:17">
      <c r="B5" s="9">
        <v>1</v>
      </c>
      <c r="C5" s="10">
        <v>9</v>
      </c>
      <c r="D5" s="10">
        <v>1</v>
      </c>
      <c r="E5" s="11">
        <v>2</v>
      </c>
      <c r="H5" s="12">
        <v>1.5</v>
      </c>
      <c r="L5" s="13">
        <v>-0.00411046885035324</v>
      </c>
      <c r="M5">
        <v>0.116377649325626</v>
      </c>
      <c r="N5">
        <v>-0.00565189466923571</v>
      </c>
      <c r="O5" s="14">
        <v>-0.0278741168914579</v>
      </c>
      <c r="Q5" s="12">
        <v>0.0977520873474631</v>
      </c>
    </row>
    <row r="6" spans="1:17">
      <c r="A6" s="1" t="s">
        <v>2</v>
      </c>
      <c r="B6" s="9">
        <v>2</v>
      </c>
      <c r="C6" s="10">
        <v>2</v>
      </c>
      <c r="D6" s="10">
        <v>10</v>
      </c>
      <c r="E6" s="11">
        <v>1</v>
      </c>
      <c r="G6" s="15" t="s">
        <v>3</v>
      </c>
      <c r="H6" s="12">
        <v>3</v>
      </c>
      <c r="L6" s="13">
        <v>-0.014771997430957</v>
      </c>
      <c r="M6">
        <v>-0.0192678227360308</v>
      </c>
      <c r="N6">
        <v>0.104688503532434</v>
      </c>
      <c r="O6" s="14">
        <v>-0.00642260757867694</v>
      </c>
      <c r="Q6" s="12">
        <v>0.257546563904945</v>
      </c>
    </row>
    <row r="7" spans="1:17">
      <c r="B7" s="9">
        <v>2</v>
      </c>
      <c r="C7" s="10">
        <v>1</v>
      </c>
      <c r="D7" s="10">
        <v>2</v>
      </c>
      <c r="E7" s="11">
        <v>8</v>
      </c>
      <c r="H7" s="12">
        <v>2</v>
      </c>
      <c r="L7" s="16">
        <v>-0.0174694926140013</v>
      </c>
      <c r="M7" s="17">
        <v>-0.00539499036608863</v>
      </c>
      <c r="N7" s="17">
        <v>-0.0240205523442518</v>
      </c>
      <c r="O7" s="18">
        <v>0.131535003211304</v>
      </c>
      <c r="Q7" s="19">
        <v>0.165446371226718</v>
      </c>
    </row>
    <row r="8" spans="1:17">
      <c r="B8" s="20"/>
      <c r="C8" s="21"/>
      <c r="D8" s="21"/>
      <c r="E8" s="22"/>
      <c r="H8" s="19"/>
      <c r="Q8" s="1"/>
    </row>
    <row r="9" spans="1:17">
      <c r="Q9" s="1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3073" progId="Equation.DSMT4" r:id="rId3">
          <objectPr defaultSize="0" r:id="rId4">
            <anchor moveWithCells="1">
              <from>
                <xdr:col>1</xdr:col>
                <xdr:colOff>57150</xdr:colOff>
                <xdr:row>0</xdr:row>
                <xdr:rowOff>67310</xdr:rowOff>
              </from>
              <to>
                <xdr:col>2</xdr:col>
                <xdr:colOff>248285</xdr:colOff>
                <xdr:row>2</xdr:row>
                <xdr:rowOff>57150</xdr:rowOff>
              </to>
            </anchor>
          </objectPr>
        </oleObject>
      </mc:Choice>
      <mc:Fallback>
        <oleObject shapeId="3073" progId="Equation.DSMT4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雅可比迭代法</vt:lpstr>
      <vt:lpstr>高斯-赛德尔迭代法</vt:lpstr>
      <vt:lpstr>求逆法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刘纯一</cp:lastModifiedBy>
  <dcterms:created xsi:type="dcterms:W3CDTF">2022-09-18T15:47:00Z</dcterms:created>
  <dcterms:modified xsi:type="dcterms:W3CDTF">2026-03-20T12:12:54Z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167220F00F7F8A30E1BCBC6964A8BE05_42</vt:lpwstr>
  </property>
  <property fmtid="{D5CDD505-2E9C-101B-9397-08002B2CF9AE}" pid="4" name="CalculationRule">
    <vt:i4>0</vt:i4>
  </property>
</Properties>
</file>