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工程计算方法\第七次作业\"/>
    </mc:Choice>
  </mc:AlternateContent>
  <xr:revisionPtr revIDLastSave="0" documentId="13_ncr:1_{D48AF9F5-1D85-4103-A8B1-96BE4E31162B}" xr6:coauthVersionLast="47" xr6:coauthVersionMax="47" xr10:uidLastSave="{00000000-0000-0000-0000-000000000000}"/>
  <bookViews>
    <workbookView xWindow="9980" yWindow="3560" windowWidth="12800" windowHeight="11520" activeTab="2" xr2:uid="{00000000-000D-0000-FFFF-FFFF00000000}"/>
  </bookViews>
  <sheets>
    <sheet name="第5题" sheetId="1" r:id="rId1"/>
    <sheet name="第6题" sheetId="2" r:id="rId2"/>
    <sheet name="第7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3" l="1"/>
  <c r="H12" i="3"/>
  <c r="H13" i="3"/>
  <c r="H14" i="3"/>
  <c r="H15" i="3"/>
  <c r="H10" i="3"/>
  <c r="H2" i="3"/>
  <c r="H3" i="3"/>
  <c r="H4" i="3"/>
  <c r="H5" i="3"/>
  <c r="H1" i="3"/>
  <c r="A8" i="3" a="1"/>
  <c r="A8" i="3" s="1"/>
  <c r="A17" i="3" a="1"/>
  <c r="A17" i="3" s="1"/>
  <c r="B9" i="2"/>
  <c r="C7" i="2"/>
  <c r="D7" i="2"/>
  <c r="E7" i="2"/>
  <c r="F7" i="2"/>
  <c r="G7" i="2"/>
  <c r="H7" i="2"/>
  <c r="I7" i="2"/>
  <c r="B7" i="2"/>
  <c r="A5" i="2" a="1"/>
  <c r="A5" i="2" s="1"/>
  <c r="C3" i="2"/>
  <c r="D3" i="2"/>
  <c r="E3" i="2"/>
  <c r="F3" i="2"/>
  <c r="G3" i="2"/>
  <c r="H3" i="2"/>
  <c r="I3" i="2"/>
  <c r="B3" i="2"/>
  <c r="B11" i="1"/>
  <c r="C9" i="1"/>
  <c r="D9" i="1"/>
  <c r="E9" i="1"/>
  <c r="F9" i="1"/>
  <c r="G9" i="1"/>
  <c r="H9" i="1"/>
  <c r="B9" i="1"/>
  <c r="C5" i="1" l="1"/>
  <c r="D5" i="1"/>
  <c r="E5" i="1"/>
  <c r="A7" i="1" s="1" a="1"/>
  <c r="A7" i="1" s="1"/>
  <c r="F5" i="1"/>
  <c r="G5" i="1"/>
  <c r="H5" i="1"/>
  <c r="B5" i="1"/>
  <c r="C4" i="1"/>
  <c r="D4" i="1"/>
  <c r="E4" i="1"/>
  <c r="F4" i="1"/>
  <c r="G4" i="1"/>
  <c r="H4" i="1"/>
  <c r="B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<sst xmlns="http://schemas.openxmlformats.org/spreadsheetml/2006/main" count="5" uniqueCount="5">
  <si>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ln(t)</t>
    <phoneticPr fontId="1" type="noConversion"/>
  </si>
  <si>
    <t>ln(W)</t>
    <phoneticPr fontId="1" type="noConversion"/>
  </si>
  <si>
    <t>x</t>
    <phoneticPr fontId="3" type="noConversion"/>
  </si>
  <si>
    <t>y</t>
    <phoneticPr fontId="3" type="noConversion"/>
  </si>
  <si>
    <t>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</si>
</sst>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第5题!$B$4:$H$4</c:f>
              <c:numCache>
                <c:formatCode>General</c:formatCode>
                <c:ptCount val="7"/>
                <c:pt idx="0">
                  <c:v>0</c:v>
                </c:pt>
                <c:pt idx="1">
                  <c:v>0.69314718055994529</c:v>
                </c:pt>
                <c:pt idx="2">
                  <c:v>1.3862943611198906</c:v>
                </c:pt>
                <c:pt idx="3">
                  <c:v>2.0794415416798357</c:v>
                </c:pt>
                <c:pt idx="4">
                  <c:v>2.7725887222397811</c:v>
                </c:pt>
                <c:pt idx="5">
                  <c:v>3.4657359027997265</c:v>
                </c:pt>
                <c:pt idx="6">
                  <c:v>4.1588830833596715</c:v>
                </c:pt>
              </c:numCache>
            </c:numRef>
          </c:xVal>
          <c:yVal>
            <c:numRef>
              <c:f>第5题!$B$5:$H$5</c:f>
              <c:numCache>
                <c:formatCode>General</c:formatCode>
                <c:ptCount val="7"/>
                <c:pt idx="0">
                  <c:v>1.4398351280479205</c:v>
                </c:pt>
                <c:pt idx="1">
                  <c:v>1.3912819026309295</c:v>
                </c:pt>
                <c:pt idx="2">
                  <c:v>1.3480731482996928</c:v>
                </c:pt>
                <c:pt idx="3">
                  <c:v>1.5238800240724537</c:v>
                </c:pt>
                <c:pt idx="4">
                  <c:v>1.235471471385307</c:v>
                </c:pt>
                <c:pt idx="5">
                  <c:v>1.1052568313867783</c:v>
                </c:pt>
                <c:pt idx="6">
                  <c:v>0.95165787571144633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E-4509-94D6-6FA5BD76277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第5题!$B$4:$H$4</c:f>
              <c:numCache>
                <c:formatCode>General</c:formatCode>
                <c:ptCount val="7"/>
                <c:pt idx="0">
                  <c:v>0</c:v>
                </c:pt>
                <c:pt idx="1">
                  <c:v>0.69314718055994529</c:v>
                </c:pt>
                <c:pt idx="2">
                  <c:v>1.3862943611198906</c:v>
                </c:pt>
                <c:pt idx="3">
                  <c:v>2.0794415416798357</c:v>
                </c:pt>
                <c:pt idx="4">
                  <c:v>2.7725887222397811</c:v>
                </c:pt>
                <c:pt idx="5">
                  <c:v>3.4657359027997265</c:v>
                </c:pt>
                <c:pt idx="6">
                  <c:v>4.1588830833596715</c:v>
                </c:pt>
              </c:numCache>
            </c:numRef>
          </c:xVal>
          <c:yVal>
            <c:numRef>
              <c:f>第5题!$B$9:$H$9</c:f>
              <c:numCache>
                <c:formatCode>General</c:formatCode>
                <c:ptCount val="7"/>
                <c:pt idx="0">
                  <c:v>1.5153348659999999</c:v>
                </c:pt>
                <c:pt idx="1">
                  <c:v>1.4385783097899181</c:v>
                </c:pt>
                <c:pt idx="2">
                  <c:v>1.3618217535798363</c:v>
                </c:pt>
                <c:pt idx="3">
                  <c:v>1.2850651973697544</c:v>
                </c:pt>
                <c:pt idx="4">
                  <c:v>1.2083086411596726</c:v>
                </c:pt>
                <c:pt idx="5">
                  <c:v>1.1315520849495908</c:v>
                </c:pt>
                <c:pt idx="6">
                  <c:v>1.054795528739509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E-4509-94D6-6FA5BD762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18287"/>
        <c:axId val="102418767"/>
      </c:scatterChart>
      <c:valAx>
        <c:axId val="10241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418767"/>
        <c:crosses val="autoZero"/>
        <c:crossBetween val="midCat"/>
      </c:valAx>
      <c:valAx>
        <c:axId val="1024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41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第6题!$B$1:$I$1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第6题!$B$3:$I$3</c:f>
              <c:numCache>
                <c:formatCode>General</c:formatCode>
                <c:ptCount val="8"/>
                <c:pt idx="0">
                  <c:v>2.7278528283983898</c:v>
                </c:pt>
                <c:pt idx="1">
                  <c:v>3.0204248861443626</c:v>
                </c:pt>
                <c:pt idx="2">
                  <c:v>3.3105430133940246</c:v>
                </c:pt>
                <c:pt idx="3">
                  <c:v>3.6000482404073204</c:v>
                </c:pt>
                <c:pt idx="4">
                  <c:v>3.8938590348004749</c:v>
                </c:pt>
                <c:pt idx="5">
                  <c:v>4.1835756959500436</c:v>
                </c:pt>
                <c:pt idx="6">
                  <c:v>4.475061500641071</c:v>
                </c:pt>
                <c:pt idx="7">
                  <c:v>4.7672890354645263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2-4CD4-9AE5-64E34D08D29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第6题!$B$1:$I$1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第6题!$B$7:$I$7</c:f>
              <c:numCache>
                <c:formatCode>General</c:formatCode>
                <c:ptCount val="8"/>
                <c:pt idx="0">
                  <c:v>2.7280757219999998</c:v>
                </c:pt>
                <c:pt idx="1">
                  <c:v>3.0192917379999997</c:v>
                </c:pt>
                <c:pt idx="2">
                  <c:v>3.3105077540000001</c:v>
                </c:pt>
                <c:pt idx="3">
                  <c:v>3.60172377</c:v>
                </c:pt>
                <c:pt idx="4">
                  <c:v>3.8929397859999999</c:v>
                </c:pt>
                <c:pt idx="5">
                  <c:v>4.1841558020000003</c:v>
                </c:pt>
                <c:pt idx="6">
                  <c:v>4.4753718180000002</c:v>
                </c:pt>
                <c:pt idx="7">
                  <c:v>4.7665878340000001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B2-4CD4-9AE5-64E34D08D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70287"/>
        <c:axId val="102420687"/>
      </c:scatterChart>
      <c:valAx>
        <c:axId val="10357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420687"/>
        <c:crosses val="autoZero"/>
        <c:crossBetween val="midCat"/>
      </c:valAx>
      <c:valAx>
        <c:axId val="10242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70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454025</xdr:colOff>
      <xdr:row>17</xdr:row>
      <xdr:rowOff>57150</xdr:rowOff>
    </xdr:from>
    <xdr:to>
      <xdr:col>8</xdr:col>
      <xdr:colOff>625475</xdr:colOff>
      <xdr:row>32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0B55D1-8B68-B6F7-374F-E6CE3344C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15</xdr:row>
      <xdr:rowOff>146050</xdr:rowOff>
    </xdr:from>
    <xdr:to>
      <xdr:col>10</xdr:col>
      <xdr:colOff>180975</xdr:colOff>
      <xdr:row>31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C2365BA-A87E-3B56-7C0F-99A1E0736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B11" sqref="B11"/>
    </sheetView>
  </sheetViews>
  <sheetFormatPr defaultColWidth="9" defaultRowHeight="14" x14ac:dyDescent="0.25"/>
  <sheetData>
    <row r="1" spans="1:8" x14ac:dyDescent="0.25">
      <c r="A1">
        <v>1</v>
      </c>
      <c r="B1">
        <v>2</v>
      </c>
      <c r="C1">
        <v>4</v>
      </c>
      <c r="D1">
        <v>8</v>
      </c>
      <c r="E1">
        <v>16</v>
      </c>
      <c r="F1">
        <v>32</v>
      </c>
      <c r="G1">
        <v>64</v>
      </c>
    </row>
    <row r="2" spans="1:8" x14ac:dyDescent="0.25">
      <c r="A2">
        <v>4.22</v>
      </c>
      <c r="B2">
        <v>4.0199999999999996</v>
      </c>
      <c r="C2">
        <v>3.85</v>
      </c>
      <c r="D2">
        <v>4.59</v>
      </c>
      <c r="E2">
        <v>3.44</v>
      </c>
      <c r="F2">
        <v>3.02</v>
      </c>
      <c r="G2">
        <v>2.59</v>
      </c>
    </row>
    <row r="4" spans="1:8" x14ac:dyDescent="0.25">
      <c r="A4" s="1" t="s">
        <v>0</v>
      </c>
      <c r="B4">
        <f>LN(A1)</f>
        <v>0</v>
      </c>
      <c r="C4">
        <f t="shared" ref="C4:H4" si="0">LN(B1)</f>
        <v>0.69314718055994529</v>
      </c>
      <c r="D4">
        <f t="shared" si="0"/>
        <v>1.3862943611198906</v>
      </c>
      <c r="E4">
        <f t="shared" si="0"/>
        <v>2.0794415416798357</v>
      </c>
      <c r="F4">
        <f t="shared" si="0"/>
        <v>2.7725887222397811</v>
      </c>
      <c r="G4">
        <f t="shared" si="0"/>
        <v>3.4657359027997265</v>
      </c>
      <c r="H4">
        <f t="shared" si="0"/>
        <v>4.1588830833596715</v>
      </c>
    </row>
    <row r="5" spans="1:8" x14ac:dyDescent="0.25">
      <c r="A5" s="1" t="s">
        <v>1</v>
      </c>
      <c r="B5">
        <f>LN(A2)</f>
        <v>1.4398351280479205</v>
      </c>
      <c r="C5">
        <f t="shared" ref="C5:H5" si="1">LN(B2)</f>
        <v>1.3912819026309295</v>
      </c>
      <c r="D5">
        <f t="shared" si="1"/>
        <v>1.3480731482996928</v>
      </c>
      <c r="E5">
        <f t="shared" si="1"/>
        <v>1.5238800240724537</v>
      </c>
      <c r="F5">
        <f t="shared" si="1"/>
        <v>1.235471471385307</v>
      </c>
      <c r="G5">
        <f t="shared" si="1"/>
        <v>1.1052568313867783</v>
      </c>
      <c r="H5">
        <f t="shared" si="1"/>
        <v>0.95165787571144633</v>
      </c>
    </row>
    <row r="7" spans="1:8" x14ac:dyDescent="0.25">
      <c r="A7" cm="1">
        <f t="array" ref="A7:B7">LINEST(B5:H5,B4:H4,TRUE,FALSE)</f>
        <v>-0.11073630313034856</v>
      </c>
      <c r="B7">
        <v>1.5153348662633728</v>
      </c>
    </row>
    <row r="9" spans="1:8" x14ac:dyDescent="0.25">
      <c r="B9">
        <f>-0.110736303*B4+1.515334866</f>
        <v>1.5153348659999999</v>
      </c>
      <c r="C9">
        <f t="shared" ref="C9:H9" si="2">-0.110736303*C4+1.515334866</f>
        <v>1.4385783097899181</v>
      </c>
      <c r="D9">
        <f t="shared" si="2"/>
        <v>1.3618217535798363</v>
      </c>
      <c r="E9">
        <f t="shared" si="2"/>
        <v>1.2850651973697544</v>
      </c>
      <c r="F9">
        <f t="shared" si="2"/>
        <v>1.2083086411596726</v>
      </c>
      <c r="G9">
        <f t="shared" si="2"/>
        <v>1.1315520849495908</v>
      </c>
      <c r="H9">
        <f t="shared" si="2"/>
        <v>1.054795528739509</v>
      </c>
    </row>
    <row r="11" spans="1:8" x14ac:dyDescent="0.25">
      <c r="B11">
        <f>EXP(B7)</f>
        <v>4.5509448296029875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B9" sqref="B9"/>
    </sheetView>
  </sheetViews>
  <sheetFormatPr defaultColWidth="9" defaultRowHeight="14" x14ac:dyDescent="0.25"/>
  <sheetData>
    <row r="1" spans="1:9" x14ac:dyDescent="0.25">
      <c r="A1" s="1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 s="1" t="s">
        <v>3</v>
      </c>
      <c r="B2">
        <v>15.3</v>
      </c>
      <c r="C2">
        <v>20.5</v>
      </c>
      <c r="D2">
        <v>27.4</v>
      </c>
      <c r="E2">
        <v>36.6</v>
      </c>
      <c r="F2">
        <v>49.1</v>
      </c>
      <c r="G2">
        <v>65.599999999999994</v>
      </c>
      <c r="H2">
        <v>87.8</v>
      </c>
      <c r="I2">
        <v>117.6</v>
      </c>
    </row>
    <row r="3" spans="1:9" x14ac:dyDescent="0.25">
      <c r="A3" s="1" t="s">
        <v>4</v>
      </c>
      <c r="B3">
        <f>LN(B2)</f>
        <v>2.7278528283983898</v>
      </c>
      <c r="C3">
        <f t="shared" ref="C3:I3" si="0">LN(C2)</f>
        <v>3.0204248861443626</v>
      </c>
      <c r="D3">
        <f t="shared" si="0"/>
        <v>3.3105430133940246</v>
      </c>
      <c r="E3">
        <f t="shared" si="0"/>
        <v>3.6000482404073204</v>
      </c>
      <c r="F3">
        <f t="shared" si="0"/>
        <v>3.8938590348004749</v>
      </c>
      <c r="G3">
        <f t="shared" si="0"/>
        <v>4.1835756959500436</v>
      </c>
      <c r="H3">
        <f t="shared" si="0"/>
        <v>4.475061500641071</v>
      </c>
      <c r="I3">
        <f t="shared" si="0"/>
        <v>4.7672890354645263</v>
      </c>
    </row>
    <row r="5" spans="1:9" x14ac:dyDescent="0.25">
      <c r="A5" cm="1">
        <f t="array" ref="A5:B5">LINEST(B3:I3,B1:I1,TRUE,FALSE)</f>
        <v>0.29121601623818699</v>
      </c>
      <c r="B5">
        <v>2.4368597063281854</v>
      </c>
    </row>
    <row r="7" spans="1:9" x14ac:dyDescent="0.25">
      <c r="B7">
        <f>0.291216016*B1+2.436859706</f>
        <v>2.7280757219999998</v>
      </c>
      <c r="C7">
        <f t="shared" ref="C7:I7" si="1">0.291216016*C1+2.436859706</f>
        <v>3.0192917379999997</v>
      </c>
      <c r="D7">
        <f t="shared" si="1"/>
        <v>3.3105077540000001</v>
      </c>
      <c r="E7">
        <f t="shared" si="1"/>
        <v>3.60172377</v>
      </c>
      <c r="F7">
        <f t="shared" si="1"/>
        <v>3.8929397859999999</v>
      </c>
      <c r="G7">
        <f t="shared" si="1"/>
        <v>4.1841558020000003</v>
      </c>
      <c r="H7">
        <f t="shared" si="1"/>
        <v>4.4753718180000002</v>
      </c>
      <c r="I7">
        <f t="shared" si="1"/>
        <v>4.7665878340000001</v>
      </c>
    </row>
    <row r="9" spans="1:9" x14ac:dyDescent="0.25">
      <c r="B9">
        <f>EXP(B5)</f>
        <v>11.437068536760735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workbookViewId="0">
      <selection activeCell="H11" sqref="H11"/>
    </sheetView>
  </sheetViews>
  <sheetFormatPr defaultColWidth="9" defaultRowHeight="14" x14ac:dyDescent="0.25"/>
  <sheetData>
    <row r="1" spans="1:8" x14ac:dyDescent="0.25">
      <c r="A1">
        <v>1</v>
      </c>
      <c r="B1">
        <v>2</v>
      </c>
      <c r="C1">
        <v>1</v>
      </c>
      <c r="E1">
        <v>2</v>
      </c>
      <c r="H1">
        <f>A1*$C$8+B1*$B$8+C1*$A$8</f>
        <v>-0.93182815837991273</v>
      </c>
    </row>
    <row r="2" spans="1:8" x14ac:dyDescent="0.25">
      <c r="A2">
        <v>-3</v>
      </c>
      <c r="B2">
        <v>2</v>
      </c>
      <c r="C2">
        <v>-1</v>
      </c>
      <c r="E2">
        <v>-1</v>
      </c>
      <c r="H2">
        <f t="shared" ref="H2:H5" si="0">A2*$C$8+B2*$B$8+C2*$A$8</f>
        <v>2.4366714465482424</v>
      </c>
    </row>
    <row r="3" spans="1:8" x14ac:dyDescent="0.25">
      <c r="A3">
        <v>3</v>
      </c>
      <c r="B3">
        <v>2</v>
      </c>
      <c r="C3">
        <v>-6</v>
      </c>
      <c r="E3">
        <v>12</v>
      </c>
      <c r="H3">
        <f t="shared" si="0"/>
        <v>12.441719586784117</v>
      </c>
    </row>
    <row r="4" spans="1:8" x14ac:dyDescent="0.25">
      <c r="A4">
        <v>1</v>
      </c>
      <c r="B4">
        <v>12</v>
      </c>
      <c r="C4">
        <v>1</v>
      </c>
      <c r="E4">
        <v>3</v>
      </c>
      <c r="H4">
        <f t="shared" si="0"/>
        <v>3.3252172895145016</v>
      </c>
    </row>
    <row r="5" spans="1:8" x14ac:dyDescent="0.25">
      <c r="A5">
        <v>4</v>
      </c>
      <c r="B5">
        <v>-2</v>
      </c>
      <c r="C5">
        <v>3</v>
      </c>
      <c r="E5">
        <v>-9</v>
      </c>
      <c r="H5">
        <f t="shared" si="0"/>
        <v>-6.1021333879605519</v>
      </c>
    </row>
    <row r="8" spans="1:8" x14ac:dyDescent="0.25">
      <c r="A8" cm="1">
        <f t="array" ref="A8:D8">LINEST(E1:E5,A1:C5,FALSE,FALSE)</f>
        <v>-1.8822246934535134</v>
      </c>
      <c r="B8">
        <v>0.42570454478944142</v>
      </c>
      <c r="C8">
        <v>9.8987445494717857E-2</v>
      </c>
      <c r="D8">
        <v>0</v>
      </c>
    </row>
    <row r="10" spans="1:8" x14ac:dyDescent="0.25">
      <c r="A10">
        <v>1</v>
      </c>
      <c r="B10">
        <v>2</v>
      </c>
      <c r="C10">
        <v>5</v>
      </c>
      <c r="D10">
        <v>9</v>
      </c>
      <c r="F10">
        <v>15</v>
      </c>
      <c r="H10">
        <f>A10*$D$17+B10*$C$17+C10*$B$17+D10*$A$17</f>
        <v>12.514913327596094</v>
      </c>
    </row>
    <row r="11" spans="1:8" x14ac:dyDescent="0.25">
      <c r="A11">
        <v>2</v>
      </c>
      <c r="B11">
        <v>-4</v>
      </c>
      <c r="C11">
        <v>1</v>
      </c>
      <c r="D11">
        <v>7</v>
      </c>
      <c r="F11">
        <v>21</v>
      </c>
      <c r="H11">
        <f>A11*$D$17+B11*$C$17+C11*$B$17+D11*$A$17</f>
        <v>3.7150463344082603</v>
      </c>
    </row>
    <row r="12" spans="1:8" x14ac:dyDescent="0.25">
      <c r="A12">
        <v>7</v>
      </c>
      <c r="B12">
        <v>-1</v>
      </c>
      <c r="C12">
        <v>-2</v>
      </c>
      <c r="D12">
        <v>6</v>
      </c>
      <c r="F12">
        <v>-9</v>
      </c>
      <c r="H12">
        <f t="shared" ref="H11:H15" si="1">A12*$D$17+B12*$C$17+C12*$B$17+D12*$A$17</f>
        <v>1.037322021539266</v>
      </c>
    </row>
    <row r="13" spans="1:8" x14ac:dyDescent="0.25">
      <c r="A13">
        <v>1</v>
      </c>
      <c r="B13">
        <v>3</v>
      </c>
      <c r="C13">
        <v>-6</v>
      </c>
      <c r="D13">
        <v>3</v>
      </c>
      <c r="F13">
        <v>4</v>
      </c>
      <c r="H13">
        <f t="shared" si="1"/>
        <v>4.0965140634815143</v>
      </c>
    </row>
    <row r="14" spans="1:8" x14ac:dyDescent="0.25">
      <c r="A14">
        <v>2</v>
      </c>
      <c r="B14">
        <v>3</v>
      </c>
      <c r="C14">
        <v>1</v>
      </c>
      <c r="D14">
        <v>-9</v>
      </c>
      <c r="F14">
        <v>3</v>
      </c>
      <c r="H14">
        <f t="shared" si="1"/>
        <v>-9.1836869348736094</v>
      </c>
    </row>
    <row r="15" spans="1:8" x14ac:dyDescent="0.25">
      <c r="A15">
        <v>1</v>
      </c>
      <c r="B15">
        <v>2</v>
      </c>
      <c r="C15">
        <v>-7</v>
      </c>
      <c r="D15">
        <v>3</v>
      </c>
      <c r="F15">
        <v>12</v>
      </c>
      <c r="H15">
        <f t="shared" si="1"/>
        <v>3.0645996590782172</v>
      </c>
    </row>
    <row r="17" spans="1:5" x14ac:dyDescent="0.25">
      <c r="A17" cm="1">
        <f t="array" ref="A17:E17">LINEST(F10:F15,A10:D15,FALSE,FALSE)</f>
        <v>1.1687560901442282</v>
      </c>
      <c r="B17">
        <v>0.20314809397104228</v>
      </c>
      <c r="C17">
        <v>0.82876631043225457</v>
      </c>
      <c r="D17">
        <v>-0.67716457442168054</v>
      </c>
      <c r="E17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第5题</vt:lpstr>
      <vt:lpstr>第6题</vt:lpstr>
      <vt:lpstr>第7题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逸凡 高</cp:lastModifiedBy>
  <dcterms:created xsi:type="dcterms:W3CDTF">2023-05-12T11:15:00Z</dcterms:created>
  <dcterms:modified xsi:type="dcterms:W3CDTF">2026-06-16T02:59:40Z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