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工程计算方法\第九次作业\"/>
    </mc:Choice>
  </mc:AlternateContent>
  <xr:revisionPtr revIDLastSave="0" documentId="13_ncr:1_{D49BAFB3-16C5-48C3-8995-11E206D6E0AB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C21" i="1" s="1" a="1"/>
  <c r="C19" i="1"/>
  <c r="D19" i="1"/>
  <c r="E19" i="1"/>
  <c r="F19" i="1"/>
  <c r="C28" i="1"/>
  <c r="D28" i="1"/>
  <c r="E28" i="1"/>
  <c r="F28" i="1"/>
  <c r="C40" i="1"/>
  <c r="D40" i="1"/>
  <c r="E40" i="1"/>
  <c r="F40" i="1"/>
  <c r="C52" i="1"/>
  <c r="D52" i="1"/>
  <c r="E52" i="1"/>
  <c r="F52" i="1"/>
  <c r="C64" i="1"/>
  <c r="D64" i="1"/>
  <c r="E64" i="1"/>
  <c r="F64" i="1"/>
  <c r="C76" i="1"/>
  <c r="D76" i="1"/>
  <c r="E76" i="1"/>
  <c r="F76" i="1"/>
  <c r="C88" i="1"/>
  <c r="D88" i="1"/>
  <c r="E88" i="1"/>
  <c r="F88" i="1"/>
  <c r="C100" i="1"/>
  <c r="D100" i="1"/>
  <c r="E100" i="1"/>
  <c r="F100" i="1"/>
  <c r="C112" i="1"/>
  <c r="D112" i="1"/>
  <c r="E112" i="1"/>
  <c r="F112" i="1"/>
  <c r="C124" i="1"/>
  <c r="D124" i="1"/>
  <c r="E124" i="1"/>
  <c r="F124" i="1"/>
  <c r="C136" i="1"/>
  <c r="D136" i="1"/>
  <c r="E136" i="1"/>
  <c r="F136" i="1"/>
  <c r="C148" i="1"/>
  <c r="D148" i="1"/>
  <c r="E148" i="1"/>
  <c r="F148" i="1"/>
  <c r="C160" i="1"/>
  <c r="D160" i="1"/>
  <c r="E160" i="1"/>
  <c r="F160" i="1"/>
  <c r="C172" i="1"/>
  <c r="D172" i="1"/>
  <c r="E172" i="1"/>
  <c r="F172" i="1"/>
  <c r="C184" i="1"/>
  <c r="D184" i="1"/>
  <c r="E184" i="1"/>
  <c r="F184" i="1"/>
  <c r="C196" i="1"/>
  <c r="D196" i="1"/>
  <c r="E196" i="1"/>
  <c r="F196" i="1"/>
  <c r="C208" i="1"/>
  <c r="D208" i="1"/>
  <c r="E208" i="1"/>
  <c r="F208" i="1"/>
  <c r="C220" i="1"/>
  <c r="D220" i="1"/>
  <c r="E220" i="1"/>
  <c r="F220" i="1"/>
  <c r="C232" i="1"/>
  <c r="D232" i="1"/>
  <c r="E232" i="1"/>
  <c r="F232" i="1"/>
  <c r="C244" i="1"/>
  <c r="D244" i="1"/>
  <c r="E244" i="1"/>
  <c r="F244" i="1"/>
  <c r="C256" i="1"/>
  <c r="D256" i="1"/>
  <c r="E256" i="1"/>
  <c r="F256" i="1"/>
  <c r="C268" i="1"/>
  <c r="D268" i="1"/>
  <c r="E268" i="1"/>
  <c r="F268" i="1"/>
  <c r="C280" i="1"/>
  <c r="D280" i="1"/>
  <c r="E280" i="1"/>
  <c r="F280" i="1"/>
  <c r="C292" i="1"/>
  <c r="D292" i="1"/>
  <c r="E292" i="1"/>
  <c r="F292" i="1"/>
  <c r="C304" i="1"/>
  <c r="D304" i="1"/>
  <c r="E304" i="1"/>
  <c r="F304" i="1"/>
  <c r="C316" i="1"/>
  <c r="D316" i="1"/>
  <c r="E316" i="1"/>
  <c r="F316" i="1"/>
  <c r="C328" i="1"/>
  <c r="D328" i="1"/>
  <c r="E328" i="1"/>
  <c r="F328" i="1"/>
  <c r="C340" i="1"/>
  <c r="D340" i="1"/>
  <c r="E340" i="1"/>
  <c r="F340" i="1"/>
  <c r="C352" i="1"/>
  <c r="D352" i="1"/>
  <c r="E352" i="1"/>
  <c r="F352" i="1"/>
  <c r="C364" i="1"/>
  <c r="D364" i="1"/>
  <c r="E364" i="1"/>
  <c r="F364" i="1"/>
  <c r="C376" i="1"/>
  <c r="D376" i="1"/>
  <c r="E376" i="1"/>
  <c r="F376" i="1"/>
  <c r="C388" i="1"/>
  <c r="D388" i="1"/>
  <c r="E388" i="1"/>
  <c r="F388" i="1"/>
  <c r="C400" i="1"/>
  <c r="D400" i="1"/>
  <c r="E400" i="1"/>
  <c r="F400" i="1"/>
  <c r="C412" i="1"/>
  <c r="D412" i="1"/>
  <c r="E412" i="1"/>
  <c r="F412" i="1"/>
  <c r="C424" i="1"/>
  <c r="D424" i="1"/>
  <c r="E424" i="1"/>
  <c r="F424" i="1"/>
  <c r="C436" i="1"/>
  <c r="D436" i="1"/>
  <c r="E436" i="1"/>
  <c r="F436" i="1"/>
  <c r="C448" i="1"/>
  <c r="D448" i="1"/>
  <c r="E448" i="1"/>
  <c r="F448" i="1"/>
  <c r="C460" i="1"/>
  <c r="D460" i="1"/>
  <c r="E460" i="1"/>
  <c r="F460" i="1"/>
  <c r="C472" i="1"/>
  <c r="D472" i="1"/>
  <c r="E472" i="1"/>
  <c r="F472" i="1"/>
  <c r="C484" i="1"/>
  <c r="D484" i="1"/>
  <c r="E484" i="1"/>
  <c r="F484" i="1"/>
  <c r="C496" i="1"/>
  <c r="D496" i="1"/>
  <c r="E496" i="1"/>
  <c r="F496" i="1"/>
  <c r="C508" i="1"/>
  <c r="D508" i="1"/>
  <c r="E508" i="1"/>
  <c r="F508" i="1"/>
  <c r="C520" i="1"/>
  <c r="D520" i="1"/>
  <c r="E520" i="1"/>
  <c r="F520" i="1"/>
  <c r="D14" i="1"/>
  <c r="E14" i="1"/>
  <c r="F14" i="1"/>
  <c r="C14" i="1"/>
  <c r="C13" i="1" a="1"/>
  <c r="C13" i="1" s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F3" i="1"/>
  <c r="E3" i="1"/>
  <c r="D3" i="1"/>
  <c r="C3" i="1"/>
  <c r="C21" i="1" l="1"/>
  <c r="C25" i="1" s="1" a="1"/>
  <c r="C9" i="1" a="1"/>
  <c r="C9" i="1" s="1"/>
  <c r="E26" i="1" l="1"/>
  <c r="D26" i="1"/>
  <c r="C25" i="1"/>
  <c r="C26" i="1" s="1"/>
  <c r="F26" i="1"/>
  <c r="D29" i="1" l="1"/>
  <c r="D31" i="1"/>
  <c r="D30" i="1"/>
  <c r="E31" i="1"/>
  <c r="E30" i="1"/>
  <c r="E29" i="1"/>
  <c r="C27" i="1"/>
  <c r="E27" i="1"/>
  <c r="D27" i="1"/>
  <c r="F27" i="1"/>
  <c r="F29" i="1"/>
  <c r="F30" i="1"/>
  <c r="F31" i="1"/>
  <c r="C29" i="1"/>
  <c r="C31" i="1"/>
  <c r="C30" i="1"/>
  <c r="C33" i="1" l="1" a="1"/>
  <c r="C33" i="1" l="1"/>
  <c r="C37" i="1" a="1"/>
  <c r="C37" i="1" l="1"/>
  <c r="C38" i="1" s="1"/>
  <c r="F38" i="1"/>
  <c r="D38" i="1"/>
  <c r="E38" i="1"/>
  <c r="D42" i="1" l="1"/>
  <c r="D41" i="1"/>
  <c r="D43" i="1"/>
  <c r="C41" i="1"/>
  <c r="C42" i="1"/>
  <c r="C43" i="1"/>
  <c r="F41" i="1"/>
  <c r="F42" i="1"/>
  <c r="F43" i="1"/>
  <c r="E41" i="1"/>
  <c r="E42" i="1"/>
  <c r="C39" i="1"/>
  <c r="D39" i="1"/>
  <c r="F39" i="1"/>
  <c r="E39" i="1"/>
  <c r="E43" i="1"/>
  <c r="C45" i="1" l="1" a="1"/>
  <c r="C45" i="1" l="1"/>
  <c r="C49" i="1" a="1"/>
  <c r="C49" i="1" l="1"/>
  <c r="C50" i="1" s="1"/>
  <c r="F50" i="1"/>
  <c r="D50" i="1"/>
  <c r="E50" i="1"/>
  <c r="C54" i="1" l="1"/>
  <c r="C55" i="1"/>
  <c r="C53" i="1"/>
  <c r="F54" i="1"/>
  <c r="F55" i="1"/>
  <c r="F53" i="1"/>
  <c r="D55" i="1"/>
  <c r="D53" i="1"/>
  <c r="D54" i="1"/>
  <c r="E54" i="1"/>
  <c r="E55" i="1"/>
  <c r="F51" i="1"/>
  <c r="C51" i="1"/>
  <c r="E51" i="1"/>
  <c r="D51" i="1"/>
  <c r="E53" i="1"/>
  <c r="C57" i="1" l="1" a="1"/>
  <c r="C57" i="1" l="1"/>
  <c r="C61" i="1" a="1"/>
  <c r="C61" i="1" l="1"/>
  <c r="C62" i="1" s="1"/>
  <c r="E62" i="1"/>
  <c r="F62" i="1"/>
  <c r="D62" i="1"/>
  <c r="F67" i="1" l="1"/>
  <c r="F65" i="1"/>
  <c r="F66" i="1"/>
  <c r="D66" i="1"/>
  <c r="D67" i="1"/>
  <c r="D65" i="1"/>
  <c r="C67" i="1"/>
  <c r="C66" i="1"/>
  <c r="C65" i="1"/>
  <c r="E67" i="1"/>
  <c r="D63" i="1"/>
  <c r="E63" i="1"/>
  <c r="E65" i="1"/>
  <c r="E66" i="1"/>
  <c r="C63" i="1"/>
  <c r="F63" i="1"/>
  <c r="C69" i="1" l="1" a="1"/>
  <c r="C69" i="1" l="1"/>
  <c r="C73" i="1" a="1"/>
  <c r="C73" i="1" l="1"/>
  <c r="C74" i="1" s="1"/>
  <c r="D74" i="1"/>
  <c r="F74" i="1"/>
  <c r="E74" i="1"/>
  <c r="C77" i="1" l="1"/>
  <c r="C79" i="1"/>
  <c r="C78" i="1"/>
  <c r="D77" i="1"/>
  <c r="D78" i="1"/>
  <c r="D79" i="1"/>
  <c r="F79" i="1"/>
  <c r="F77" i="1"/>
  <c r="F78" i="1"/>
  <c r="D75" i="1"/>
  <c r="E75" i="1"/>
  <c r="C75" i="1"/>
  <c r="E79" i="1"/>
  <c r="F75" i="1"/>
  <c r="E77" i="1"/>
  <c r="E78" i="1"/>
  <c r="C81" i="1" l="1" a="1"/>
  <c r="C81" i="1" l="1"/>
  <c r="C85" i="1" s="1" a="1"/>
  <c r="C85" i="1" l="1"/>
  <c r="C86" i="1" s="1"/>
  <c r="E86" i="1"/>
  <c r="F86" i="1"/>
  <c r="D86" i="1"/>
  <c r="F89" i="1" l="1"/>
  <c r="F91" i="1"/>
  <c r="F90" i="1"/>
  <c r="D89" i="1"/>
  <c r="D90" i="1"/>
  <c r="D91" i="1"/>
  <c r="C90" i="1"/>
  <c r="C89" i="1"/>
  <c r="C91" i="1"/>
  <c r="E89" i="1"/>
  <c r="C87" i="1"/>
  <c r="D87" i="1"/>
  <c r="E87" i="1"/>
  <c r="F87" i="1"/>
  <c r="E90" i="1"/>
  <c r="E91" i="1"/>
  <c r="C93" i="1" l="1" a="1"/>
  <c r="C93" i="1" l="1"/>
  <c r="C97" i="1" a="1"/>
  <c r="C97" i="1" l="1"/>
  <c r="C98" i="1" s="1"/>
  <c r="D98" i="1"/>
  <c r="E98" i="1"/>
  <c r="F98" i="1"/>
  <c r="D101" i="1" l="1"/>
  <c r="D102" i="1"/>
  <c r="D103" i="1"/>
  <c r="C103" i="1"/>
  <c r="C101" i="1"/>
  <c r="C102" i="1"/>
  <c r="F103" i="1"/>
  <c r="F101" i="1"/>
  <c r="F102" i="1"/>
  <c r="C99" i="1"/>
  <c r="D99" i="1"/>
  <c r="E99" i="1"/>
  <c r="E101" i="1"/>
  <c r="E102" i="1"/>
  <c r="E103" i="1"/>
  <c r="F99" i="1"/>
  <c r="C105" i="1" l="1" a="1"/>
  <c r="C105" i="1" l="1"/>
  <c r="C109" i="1" a="1"/>
  <c r="C109" i="1" l="1"/>
  <c r="C110" i="1" s="1"/>
  <c r="F110" i="1"/>
  <c r="D110" i="1"/>
  <c r="E110" i="1"/>
  <c r="C113" i="1" l="1"/>
  <c r="C114" i="1"/>
  <c r="C115" i="1"/>
  <c r="F113" i="1"/>
  <c r="F114" i="1"/>
  <c r="F115" i="1"/>
  <c r="D114" i="1"/>
  <c r="D115" i="1"/>
  <c r="D113" i="1"/>
  <c r="C111" i="1"/>
  <c r="E111" i="1"/>
  <c r="F111" i="1"/>
  <c r="E114" i="1"/>
  <c r="E115" i="1"/>
  <c r="D111" i="1"/>
  <c r="E113" i="1"/>
  <c r="C117" i="1" l="1" a="1"/>
  <c r="C117" i="1" l="1"/>
  <c r="C121" i="1" a="1"/>
  <c r="C121" i="1" l="1"/>
  <c r="C122" i="1" s="1"/>
  <c r="F122" i="1"/>
  <c r="E122" i="1"/>
  <c r="D122" i="1"/>
  <c r="F125" i="1" l="1"/>
  <c r="F126" i="1"/>
  <c r="F127" i="1"/>
  <c r="C125" i="1"/>
  <c r="C126" i="1"/>
  <c r="C127" i="1"/>
  <c r="D125" i="1"/>
  <c r="D127" i="1"/>
  <c r="D126" i="1"/>
  <c r="E125" i="1"/>
  <c r="E127" i="1"/>
  <c r="C123" i="1"/>
  <c r="D123" i="1"/>
  <c r="E126" i="1"/>
  <c r="E123" i="1"/>
  <c r="F123" i="1"/>
  <c r="C129" i="1" l="1" a="1"/>
  <c r="C129" i="1" l="1"/>
  <c r="C133" i="1" a="1"/>
  <c r="C133" i="1" l="1"/>
  <c r="C134" i="1" s="1"/>
  <c r="D134" i="1"/>
  <c r="E134" i="1"/>
  <c r="F134" i="1"/>
  <c r="D138" i="1" l="1"/>
  <c r="D139" i="1"/>
  <c r="D137" i="1"/>
  <c r="C137" i="1"/>
  <c r="C138" i="1"/>
  <c r="C139" i="1"/>
  <c r="F137" i="1"/>
  <c r="F139" i="1"/>
  <c r="F138" i="1"/>
  <c r="E137" i="1"/>
  <c r="E138" i="1"/>
  <c r="E139" i="1"/>
  <c r="C135" i="1"/>
  <c r="D135" i="1"/>
  <c r="E135" i="1"/>
  <c r="F135" i="1"/>
  <c r="C141" i="1" l="1" a="1"/>
  <c r="C141" i="1" l="1"/>
  <c r="C145" i="1" a="1"/>
  <c r="C145" i="1" l="1"/>
  <c r="C146" i="1" s="1"/>
  <c r="F146" i="1"/>
  <c r="D146" i="1"/>
  <c r="E146" i="1"/>
  <c r="C150" i="1" l="1"/>
  <c r="C151" i="1"/>
  <c r="C149" i="1"/>
  <c r="F150" i="1"/>
  <c r="F149" i="1"/>
  <c r="F151" i="1"/>
  <c r="D151" i="1"/>
  <c r="D149" i="1"/>
  <c r="D150" i="1"/>
  <c r="E150" i="1"/>
  <c r="E151" i="1"/>
  <c r="F147" i="1"/>
  <c r="C147" i="1"/>
  <c r="D147" i="1"/>
  <c r="E147" i="1"/>
  <c r="E149" i="1"/>
  <c r="C153" i="1" l="1" a="1"/>
  <c r="C153" i="1" l="1"/>
  <c r="C157" i="1" s="1" a="1"/>
  <c r="C157" i="1" l="1"/>
  <c r="C158" i="1" s="1"/>
  <c r="E158" i="1"/>
  <c r="D158" i="1"/>
  <c r="F158" i="1"/>
  <c r="D163" i="1" l="1"/>
  <c r="D161" i="1"/>
  <c r="D162" i="1"/>
  <c r="F163" i="1"/>
  <c r="F161" i="1"/>
  <c r="F162" i="1"/>
  <c r="C163" i="1"/>
  <c r="C161" i="1"/>
  <c r="C162" i="1"/>
  <c r="E163" i="1"/>
  <c r="D159" i="1"/>
  <c r="E159" i="1"/>
  <c r="E162" i="1"/>
  <c r="E161" i="1"/>
  <c r="F159" i="1"/>
  <c r="C159" i="1"/>
  <c r="C165" i="1" l="1" a="1"/>
  <c r="C165" i="1" l="1"/>
  <c r="C169" i="1" a="1"/>
  <c r="C169" i="1" l="1"/>
  <c r="C170" i="1" s="1"/>
  <c r="F170" i="1"/>
  <c r="D170" i="1"/>
  <c r="E170" i="1"/>
  <c r="C175" i="1" l="1"/>
  <c r="C173" i="1"/>
  <c r="C174" i="1"/>
  <c r="F175" i="1"/>
  <c r="F174" i="1"/>
  <c r="F173" i="1"/>
  <c r="D175" i="1"/>
  <c r="D173" i="1"/>
  <c r="D174" i="1"/>
  <c r="D171" i="1"/>
  <c r="E171" i="1"/>
  <c r="E175" i="1"/>
  <c r="F171" i="1"/>
  <c r="C171" i="1"/>
  <c r="E174" i="1"/>
  <c r="E173" i="1"/>
  <c r="C177" i="1" l="1" a="1"/>
  <c r="C177" i="1" l="1"/>
  <c r="C181" i="1" s="1" a="1"/>
  <c r="C181" i="1" l="1"/>
  <c r="C182" i="1" s="1"/>
  <c r="E182" i="1"/>
  <c r="F182" i="1"/>
  <c r="D182" i="1"/>
  <c r="F186" i="1" l="1"/>
  <c r="F185" i="1"/>
  <c r="F187" i="1"/>
  <c r="D185" i="1"/>
  <c r="D186" i="1"/>
  <c r="D187" i="1"/>
  <c r="C185" i="1"/>
  <c r="C186" i="1"/>
  <c r="C187" i="1"/>
  <c r="E185" i="1"/>
  <c r="E183" i="1"/>
  <c r="F183" i="1"/>
  <c r="C183" i="1"/>
  <c r="D183" i="1"/>
  <c r="E187" i="1"/>
  <c r="E186" i="1"/>
  <c r="C189" i="1" l="1" a="1"/>
  <c r="C189" i="1" l="1"/>
  <c r="C193" i="1" a="1"/>
  <c r="C193" i="1" l="1"/>
  <c r="C194" i="1" s="1"/>
  <c r="D194" i="1"/>
  <c r="F194" i="1"/>
  <c r="E194" i="1"/>
  <c r="C197" i="1" l="1"/>
  <c r="C198" i="1"/>
  <c r="C199" i="1"/>
  <c r="D197" i="1"/>
  <c r="D198" i="1"/>
  <c r="D199" i="1"/>
  <c r="F197" i="1"/>
  <c r="F198" i="1"/>
  <c r="F199" i="1"/>
  <c r="C195" i="1"/>
  <c r="D195" i="1"/>
  <c r="E195" i="1"/>
  <c r="E197" i="1"/>
  <c r="E198" i="1"/>
  <c r="E199" i="1"/>
  <c r="F195" i="1"/>
  <c r="C201" i="1" l="1" a="1"/>
  <c r="C201" i="1" l="1"/>
  <c r="C205" i="1" s="1" a="1"/>
  <c r="C205" i="1" l="1"/>
  <c r="C206" i="1" s="1"/>
  <c r="F206" i="1"/>
  <c r="D206" i="1"/>
  <c r="E206" i="1"/>
  <c r="C209" i="1" l="1"/>
  <c r="C211" i="1"/>
  <c r="C210" i="1"/>
  <c r="F211" i="1"/>
  <c r="F210" i="1"/>
  <c r="F209" i="1"/>
  <c r="D210" i="1"/>
  <c r="D211" i="1"/>
  <c r="D209" i="1"/>
  <c r="C207" i="1"/>
  <c r="E207" i="1"/>
  <c r="F207" i="1"/>
  <c r="E210" i="1"/>
  <c r="E211" i="1"/>
  <c r="E209" i="1"/>
  <c r="D207" i="1"/>
  <c r="C213" i="1" l="1" a="1"/>
  <c r="C213" i="1" l="1"/>
  <c r="C217" i="1" a="1"/>
  <c r="C217" i="1" l="1"/>
  <c r="C218" i="1" s="1"/>
  <c r="E218" i="1"/>
  <c r="D218" i="1"/>
  <c r="F218" i="1"/>
  <c r="D221" i="1" l="1"/>
  <c r="D223" i="1"/>
  <c r="D222" i="1"/>
  <c r="F222" i="1"/>
  <c r="F221" i="1"/>
  <c r="F223" i="1"/>
  <c r="C221" i="1"/>
  <c r="C222" i="1"/>
  <c r="C223" i="1"/>
  <c r="E221" i="1"/>
  <c r="E223" i="1"/>
  <c r="D219" i="1"/>
  <c r="C219" i="1"/>
  <c r="E219" i="1"/>
  <c r="F219" i="1"/>
  <c r="E222" i="1"/>
  <c r="C225" i="1" l="1" a="1"/>
  <c r="C225" i="1" l="1"/>
  <c r="C229" i="1" a="1"/>
  <c r="C229" i="1" l="1"/>
  <c r="C230" i="1" s="1"/>
  <c r="F230" i="1"/>
  <c r="D230" i="1"/>
  <c r="E230" i="1"/>
  <c r="C233" i="1" l="1"/>
  <c r="C234" i="1"/>
  <c r="C235" i="1"/>
  <c r="F233" i="1"/>
  <c r="F235" i="1"/>
  <c r="F234" i="1"/>
  <c r="D234" i="1"/>
  <c r="D233" i="1"/>
  <c r="D235" i="1"/>
  <c r="E233" i="1"/>
  <c r="E234" i="1"/>
  <c r="E235" i="1"/>
  <c r="E231" i="1"/>
  <c r="C231" i="1"/>
  <c r="D231" i="1"/>
  <c r="F231" i="1"/>
  <c r="C237" i="1" l="1" a="1"/>
  <c r="C237" i="1" l="1"/>
  <c r="C241" i="1" a="1"/>
  <c r="C241" i="1" l="1"/>
  <c r="C242" i="1" s="1"/>
  <c r="E242" i="1"/>
  <c r="D242" i="1"/>
  <c r="F242" i="1"/>
  <c r="D247" i="1" l="1"/>
  <c r="D245" i="1"/>
  <c r="D246" i="1"/>
  <c r="F246" i="1"/>
  <c r="F245" i="1"/>
  <c r="F247" i="1"/>
  <c r="C246" i="1"/>
  <c r="C247" i="1"/>
  <c r="C245" i="1"/>
  <c r="E246" i="1"/>
  <c r="E247" i="1"/>
  <c r="F243" i="1"/>
  <c r="D243" i="1"/>
  <c r="C243" i="1"/>
  <c r="E243" i="1"/>
  <c r="E245" i="1"/>
  <c r="C249" i="1" l="1" a="1"/>
  <c r="C249" i="1" l="1"/>
  <c r="C253" i="1" a="1"/>
  <c r="C253" i="1" l="1"/>
  <c r="C254" i="1" s="1"/>
  <c r="F254" i="1"/>
  <c r="D254" i="1"/>
  <c r="E254" i="1"/>
  <c r="C259" i="1" l="1"/>
  <c r="C258" i="1"/>
  <c r="C257" i="1"/>
  <c r="F259" i="1"/>
  <c r="F257" i="1"/>
  <c r="F258" i="1"/>
  <c r="D257" i="1"/>
  <c r="D258" i="1"/>
  <c r="D259" i="1"/>
  <c r="E259" i="1"/>
  <c r="D255" i="1"/>
  <c r="E255" i="1"/>
  <c r="C255" i="1"/>
  <c r="F255" i="1"/>
  <c r="E257" i="1"/>
  <c r="E258" i="1"/>
  <c r="C261" i="1" l="1" a="1"/>
  <c r="C261" i="1" l="1"/>
  <c r="C265" i="1" a="1"/>
  <c r="C265" i="1" l="1"/>
  <c r="C266" i="1" s="1"/>
  <c r="F266" i="1"/>
  <c r="E266" i="1"/>
  <c r="D266" i="1"/>
  <c r="F270" i="1" l="1"/>
  <c r="F271" i="1"/>
  <c r="F269" i="1"/>
  <c r="C271" i="1"/>
  <c r="C269" i="1"/>
  <c r="C270" i="1"/>
  <c r="D270" i="1"/>
  <c r="D271" i="1"/>
  <c r="D269" i="1"/>
  <c r="D267" i="1"/>
  <c r="E267" i="1"/>
  <c r="E270" i="1"/>
  <c r="E271" i="1"/>
  <c r="E269" i="1"/>
  <c r="C267" i="1"/>
  <c r="F267" i="1"/>
  <c r="C273" i="1" l="1" a="1"/>
  <c r="C273" i="1" l="1"/>
  <c r="C277" i="1" s="1" a="1"/>
  <c r="C277" i="1" l="1"/>
  <c r="C278" i="1" s="1"/>
  <c r="D278" i="1"/>
  <c r="E278" i="1"/>
  <c r="F278" i="1"/>
  <c r="D281" i="1" l="1"/>
  <c r="D282" i="1"/>
  <c r="D283" i="1"/>
  <c r="C281" i="1"/>
  <c r="C282" i="1"/>
  <c r="C283" i="1"/>
  <c r="F282" i="1"/>
  <c r="F281" i="1"/>
  <c r="F283" i="1"/>
  <c r="E281" i="1"/>
  <c r="C279" i="1"/>
  <c r="D279" i="1"/>
  <c r="E279" i="1"/>
  <c r="F279" i="1"/>
  <c r="E282" i="1"/>
  <c r="E283" i="1"/>
  <c r="C285" i="1" l="1" a="1"/>
  <c r="C285" i="1" l="1"/>
  <c r="C289" i="1" a="1"/>
  <c r="C289" i="1" l="1"/>
  <c r="C290" i="1" s="1"/>
  <c r="F290" i="1"/>
  <c r="E290" i="1"/>
  <c r="D290" i="1"/>
  <c r="F293" i="1" l="1"/>
  <c r="F294" i="1"/>
  <c r="F295" i="1"/>
  <c r="C294" i="1"/>
  <c r="C293" i="1"/>
  <c r="C295" i="1"/>
  <c r="D293" i="1"/>
  <c r="D294" i="1"/>
  <c r="D295" i="1"/>
  <c r="C291" i="1"/>
  <c r="D291" i="1"/>
  <c r="E293" i="1"/>
  <c r="E294" i="1"/>
  <c r="E291" i="1"/>
  <c r="F291" i="1"/>
  <c r="E295" i="1"/>
  <c r="C297" i="1" l="1" a="1"/>
  <c r="C297" i="1" l="1"/>
  <c r="C301" i="1" a="1"/>
  <c r="C301" i="1" l="1"/>
  <c r="C302" i="1" s="1"/>
  <c r="D302" i="1"/>
  <c r="E302" i="1"/>
  <c r="F302" i="1"/>
  <c r="D306" i="1" l="1"/>
  <c r="D307" i="1"/>
  <c r="D305" i="1"/>
  <c r="C306" i="1"/>
  <c r="C307" i="1"/>
  <c r="C305" i="1"/>
  <c r="F305" i="1"/>
  <c r="F306" i="1"/>
  <c r="F307" i="1"/>
  <c r="E303" i="1"/>
  <c r="F303" i="1"/>
  <c r="E306" i="1"/>
  <c r="E307" i="1"/>
  <c r="E305" i="1"/>
  <c r="C303" i="1"/>
  <c r="D303" i="1"/>
  <c r="C309" i="1" l="1" a="1"/>
  <c r="C309" i="1" l="1"/>
  <c r="C313" i="1" a="1"/>
  <c r="C313" i="1" l="1"/>
  <c r="C314" i="1" s="1"/>
  <c r="F314" i="1"/>
  <c r="E314" i="1"/>
  <c r="D314" i="1"/>
  <c r="F319" i="1" l="1"/>
  <c r="F318" i="1"/>
  <c r="F317" i="1"/>
  <c r="C317" i="1"/>
  <c r="C319" i="1"/>
  <c r="C318" i="1"/>
  <c r="D317" i="1"/>
  <c r="D319" i="1"/>
  <c r="D318" i="1"/>
  <c r="E319" i="1"/>
  <c r="F315" i="1"/>
  <c r="E317" i="1"/>
  <c r="E318" i="1"/>
  <c r="E315" i="1"/>
  <c r="C315" i="1"/>
  <c r="D315" i="1"/>
  <c r="C321" i="1" l="1" a="1"/>
  <c r="C321" i="1" l="1"/>
  <c r="C325" i="1" a="1"/>
  <c r="C325" i="1" l="1"/>
  <c r="C326" i="1" s="1"/>
  <c r="D326" i="1"/>
  <c r="F326" i="1"/>
  <c r="E326" i="1"/>
  <c r="C330" i="1" l="1"/>
  <c r="C329" i="1"/>
  <c r="C331" i="1"/>
  <c r="D330" i="1"/>
  <c r="D331" i="1"/>
  <c r="D329" i="1"/>
  <c r="F329" i="1"/>
  <c r="F330" i="1"/>
  <c r="F331" i="1"/>
  <c r="E329" i="1"/>
  <c r="D327" i="1"/>
  <c r="C327" i="1"/>
  <c r="E327" i="1"/>
  <c r="F327" i="1"/>
  <c r="E330" i="1"/>
  <c r="E331" i="1"/>
  <c r="C333" i="1" l="1" a="1"/>
  <c r="C333" i="1" l="1"/>
  <c r="C337" i="1" a="1"/>
  <c r="C337" i="1" l="1"/>
  <c r="C338" i="1" s="1"/>
  <c r="E338" i="1"/>
  <c r="F338" i="1"/>
  <c r="D338" i="1"/>
  <c r="F342" i="1" l="1"/>
  <c r="F343" i="1"/>
  <c r="F341" i="1"/>
  <c r="D343" i="1"/>
  <c r="D341" i="1"/>
  <c r="D342" i="1"/>
  <c r="C343" i="1"/>
  <c r="C341" i="1"/>
  <c r="C342" i="1"/>
  <c r="E342" i="1"/>
  <c r="E341" i="1"/>
  <c r="E343" i="1"/>
  <c r="E339" i="1"/>
  <c r="C339" i="1"/>
  <c r="F339" i="1"/>
  <c r="D339" i="1"/>
  <c r="C345" i="1" l="1" a="1"/>
  <c r="C345" i="1" l="1"/>
  <c r="C349" i="1" s="1" a="1"/>
  <c r="C349" i="1" l="1"/>
  <c r="C350" i="1" s="1"/>
  <c r="D350" i="1"/>
  <c r="F350" i="1"/>
  <c r="E350" i="1"/>
  <c r="C353" i="1" l="1"/>
  <c r="C354" i="1"/>
  <c r="C355" i="1"/>
  <c r="D353" i="1"/>
  <c r="D354" i="1"/>
  <c r="D355" i="1"/>
  <c r="F355" i="1"/>
  <c r="F353" i="1"/>
  <c r="F354" i="1"/>
  <c r="E355" i="1"/>
  <c r="D351" i="1"/>
  <c r="E351" i="1"/>
  <c r="E353" i="1"/>
  <c r="C351" i="1"/>
  <c r="F351" i="1"/>
  <c r="E354" i="1"/>
  <c r="C357" i="1" l="1" a="1"/>
  <c r="C357" i="1" l="1"/>
  <c r="C361" i="1" a="1"/>
  <c r="C361" i="1" l="1"/>
  <c r="C362" i="1" s="1"/>
  <c r="E362" i="1"/>
  <c r="D362" i="1"/>
  <c r="F362" i="1"/>
  <c r="D365" i="1" l="1"/>
  <c r="D367" i="1"/>
  <c r="D366" i="1"/>
  <c r="C365" i="1"/>
  <c r="C367" i="1"/>
  <c r="C366" i="1"/>
  <c r="F366" i="1"/>
  <c r="F367" i="1"/>
  <c r="F365" i="1"/>
  <c r="D363" i="1"/>
  <c r="E363" i="1"/>
  <c r="F363" i="1"/>
  <c r="C363" i="1"/>
  <c r="E366" i="1"/>
  <c r="E367" i="1"/>
  <c r="E365" i="1"/>
  <c r="C369" i="1" l="1" a="1"/>
  <c r="C369" i="1" l="1"/>
  <c r="C373" i="1" s="1" a="1"/>
  <c r="C373" i="1" l="1"/>
  <c r="C374" i="1" s="1"/>
  <c r="F374" i="1"/>
  <c r="E374" i="1"/>
  <c r="D374" i="1"/>
  <c r="F379" i="1" l="1"/>
  <c r="F377" i="1"/>
  <c r="F378" i="1"/>
  <c r="C377" i="1"/>
  <c r="C378" i="1"/>
  <c r="C379" i="1"/>
  <c r="D377" i="1"/>
  <c r="D378" i="1"/>
  <c r="D379" i="1"/>
  <c r="E377" i="1"/>
  <c r="E378" i="1"/>
  <c r="E379" i="1"/>
  <c r="D375" i="1"/>
  <c r="E375" i="1"/>
  <c r="F375" i="1"/>
  <c r="C375" i="1"/>
  <c r="C381" i="1" l="1" a="1"/>
  <c r="C381" i="1" l="1"/>
  <c r="C385" i="1" a="1"/>
  <c r="C385" i="1" l="1"/>
  <c r="C386" i="1" s="1"/>
  <c r="D386" i="1"/>
  <c r="E386" i="1"/>
  <c r="F386" i="1"/>
  <c r="D389" i="1" l="1"/>
  <c r="D390" i="1"/>
  <c r="D391" i="1"/>
  <c r="C391" i="1"/>
  <c r="C389" i="1"/>
  <c r="C390" i="1"/>
  <c r="F391" i="1"/>
  <c r="F389" i="1"/>
  <c r="F390" i="1"/>
  <c r="C387" i="1"/>
  <c r="D387" i="1"/>
  <c r="E389" i="1"/>
  <c r="E390" i="1"/>
  <c r="E391" i="1"/>
  <c r="E387" i="1"/>
  <c r="F387" i="1"/>
  <c r="C393" i="1" l="1" a="1"/>
  <c r="C393" i="1" l="1"/>
  <c r="C397" i="1" a="1"/>
  <c r="C397" i="1" l="1"/>
  <c r="C398" i="1" s="1"/>
  <c r="F398" i="1"/>
  <c r="E398" i="1"/>
  <c r="D398" i="1"/>
  <c r="D402" i="1" l="1"/>
  <c r="D403" i="1"/>
  <c r="D401" i="1"/>
  <c r="F401" i="1"/>
  <c r="F403" i="1"/>
  <c r="F402" i="1"/>
  <c r="C403" i="1"/>
  <c r="C402" i="1"/>
  <c r="C401" i="1"/>
  <c r="E399" i="1"/>
  <c r="F399" i="1"/>
  <c r="E402" i="1"/>
  <c r="E403" i="1"/>
  <c r="D399" i="1"/>
  <c r="C399" i="1"/>
  <c r="E401" i="1"/>
  <c r="C405" i="1" l="1" a="1"/>
  <c r="C405" i="1" l="1"/>
  <c r="C409" i="1" a="1"/>
  <c r="C409" i="1" l="1"/>
  <c r="C410" i="1" s="1"/>
  <c r="F410" i="1"/>
  <c r="E410" i="1"/>
  <c r="D410" i="1"/>
  <c r="F413" i="1" l="1"/>
  <c r="F414" i="1"/>
  <c r="F415" i="1"/>
  <c r="C413" i="1"/>
  <c r="C414" i="1"/>
  <c r="C415" i="1"/>
  <c r="D413" i="1"/>
  <c r="D415" i="1"/>
  <c r="D414" i="1"/>
  <c r="E415" i="1"/>
  <c r="E411" i="1"/>
  <c r="F411" i="1"/>
  <c r="E413" i="1"/>
  <c r="E414" i="1"/>
  <c r="C411" i="1"/>
  <c r="D411" i="1"/>
  <c r="C417" i="1" l="1" a="1"/>
  <c r="C417" i="1" l="1"/>
  <c r="C421" i="1" a="1"/>
  <c r="C421" i="1" l="1"/>
  <c r="C422" i="1" s="1"/>
  <c r="D422" i="1"/>
  <c r="F422" i="1"/>
  <c r="E422" i="1"/>
  <c r="C426" i="1" l="1"/>
  <c r="C427" i="1"/>
  <c r="C425" i="1"/>
  <c r="D426" i="1"/>
  <c r="D427" i="1"/>
  <c r="D425" i="1"/>
  <c r="F425" i="1"/>
  <c r="F427" i="1"/>
  <c r="F426" i="1"/>
  <c r="E425" i="1"/>
  <c r="E427" i="1"/>
  <c r="D423" i="1"/>
  <c r="E423" i="1"/>
  <c r="F423" i="1"/>
  <c r="E426" i="1"/>
  <c r="C423" i="1"/>
  <c r="C429" i="1" l="1" a="1"/>
  <c r="C429" i="1" l="1"/>
  <c r="C433" i="1" a="1"/>
  <c r="C433" i="1" l="1"/>
  <c r="C434" i="1" s="1"/>
  <c r="E434" i="1"/>
  <c r="F434" i="1"/>
  <c r="D434" i="1"/>
  <c r="F438" i="1" l="1"/>
  <c r="F439" i="1"/>
  <c r="F437" i="1"/>
  <c r="D439" i="1"/>
  <c r="D437" i="1"/>
  <c r="D438" i="1"/>
  <c r="C439" i="1"/>
  <c r="C437" i="1"/>
  <c r="C438" i="1"/>
  <c r="E438" i="1"/>
  <c r="E435" i="1"/>
  <c r="F435" i="1"/>
  <c r="C435" i="1"/>
  <c r="D435" i="1"/>
  <c r="E439" i="1"/>
  <c r="E437" i="1"/>
  <c r="C441" i="1" l="1" a="1"/>
  <c r="C441" i="1" l="1"/>
  <c r="C445" i="1" a="1"/>
  <c r="C445" i="1" l="1"/>
  <c r="C446" i="1" s="1"/>
  <c r="D446" i="1"/>
  <c r="F446" i="1"/>
  <c r="E446" i="1"/>
  <c r="C450" i="1" l="1"/>
  <c r="C449" i="1"/>
  <c r="C451" i="1"/>
  <c r="D449" i="1"/>
  <c r="D450" i="1"/>
  <c r="D451" i="1"/>
  <c r="F451" i="1"/>
  <c r="F450" i="1"/>
  <c r="F449" i="1"/>
  <c r="E451" i="1"/>
  <c r="D447" i="1"/>
  <c r="E447" i="1"/>
  <c r="E449" i="1"/>
  <c r="E450" i="1"/>
  <c r="C447" i="1"/>
  <c r="F447" i="1"/>
  <c r="C453" i="1" l="1" a="1"/>
  <c r="C453" i="1" l="1"/>
  <c r="C457" i="1" a="1"/>
  <c r="C457" i="1" l="1"/>
  <c r="C458" i="1" s="1"/>
  <c r="E458" i="1"/>
  <c r="D458" i="1"/>
  <c r="F458" i="1"/>
  <c r="D463" i="1" l="1"/>
  <c r="D462" i="1"/>
  <c r="D461" i="1"/>
  <c r="F462" i="1"/>
  <c r="F463" i="1"/>
  <c r="F461" i="1"/>
  <c r="C463" i="1"/>
  <c r="C462" i="1"/>
  <c r="C461" i="1"/>
  <c r="D459" i="1"/>
  <c r="E459" i="1"/>
  <c r="E462" i="1"/>
  <c r="E463" i="1"/>
  <c r="C459" i="1"/>
  <c r="F459" i="1"/>
  <c r="E461" i="1"/>
  <c r="C465" i="1" l="1" a="1"/>
  <c r="C465" i="1" l="1"/>
  <c r="C469" i="1" s="1" a="1"/>
  <c r="C469" i="1" l="1"/>
  <c r="C470" i="1" s="1"/>
  <c r="F470" i="1"/>
  <c r="D470" i="1"/>
  <c r="E470" i="1"/>
  <c r="E473" i="1" l="1"/>
  <c r="C471" i="1"/>
  <c r="D471" i="1"/>
  <c r="E475" i="1"/>
  <c r="E471" i="1"/>
  <c r="F471" i="1"/>
  <c r="E474" i="1"/>
  <c r="C473" i="1"/>
  <c r="C474" i="1"/>
  <c r="C475" i="1"/>
  <c r="F475" i="1"/>
  <c r="F473" i="1"/>
  <c r="F474" i="1"/>
  <c r="D473" i="1"/>
  <c r="D475" i="1"/>
  <c r="D474" i="1"/>
  <c r="C477" i="1" l="1" a="1"/>
  <c r="C477" i="1" l="1"/>
  <c r="C481" i="1" s="1" a="1"/>
  <c r="C481" i="1" l="1"/>
  <c r="C482" i="1" s="1"/>
  <c r="E482" i="1"/>
  <c r="D482" i="1"/>
  <c r="F482" i="1"/>
  <c r="D485" i="1" l="1"/>
  <c r="D486" i="1"/>
  <c r="D487" i="1"/>
  <c r="F485" i="1"/>
  <c r="F486" i="1"/>
  <c r="F487" i="1"/>
  <c r="C485" i="1"/>
  <c r="C486" i="1"/>
  <c r="C487" i="1"/>
  <c r="C483" i="1"/>
  <c r="D483" i="1"/>
  <c r="E485" i="1"/>
  <c r="E486" i="1"/>
  <c r="E483" i="1"/>
  <c r="F483" i="1"/>
  <c r="E487" i="1"/>
  <c r="C489" i="1" l="1" a="1"/>
  <c r="C489" i="1" l="1"/>
  <c r="C493" i="1" a="1"/>
  <c r="C493" i="1" l="1"/>
  <c r="C494" i="1" s="1"/>
  <c r="F494" i="1"/>
  <c r="D494" i="1"/>
  <c r="E494" i="1"/>
  <c r="F497" i="1" l="1"/>
  <c r="F498" i="1"/>
  <c r="F499" i="1"/>
  <c r="D498" i="1"/>
  <c r="D499" i="1"/>
  <c r="D497" i="1"/>
  <c r="C498" i="1"/>
  <c r="C499" i="1"/>
  <c r="C497" i="1"/>
  <c r="E495" i="1"/>
  <c r="F495" i="1"/>
  <c r="E498" i="1"/>
  <c r="E499" i="1"/>
  <c r="E497" i="1"/>
  <c r="D495" i="1"/>
  <c r="C495" i="1"/>
  <c r="C501" i="1" l="1" a="1"/>
  <c r="C501" i="1" l="1"/>
  <c r="C505" i="1" a="1"/>
  <c r="C505" i="1" l="1"/>
  <c r="C506" i="1" s="1"/>
  <c r="D506" i="1"/>
  <c r="F506" i="1"/>
  <c r="E506" i="1"/>
  <c r="C509" i="1" l="1"/>
  <c r="C510" i="1"/>
  <c r="C511" i="1"/>
  <c r="D509" i="1"/>
  <c r="D511" i="1"/>
  <c r="D510" i="1"/>
  <c r="F509" i="1"/>
  <c r="F510" i="1"/>
  <c r="F511" i="1"/>
  <c r="E511" i="1"/>
  <c r="F507" i="1"/>
  <c r="D507" i="1"/>
  <c r="E509" i="1"/>
  <c r="C507" i="1"/>
  <c r="E507" i="1"/>
  <c r="E510" i="1"/>
  <c r="C513" i="1" l="1" a="1"/>
  <c r="C513" i="1" l="1"/>
  <c r="C517" i="1" a="1"/>
  <c r="C517" i="1" l="1"/>
  <c r="C518" i="1" s="1"/>
  <c r="E518" i="1"/>
  <c r="F518" i="1"/>
  <c r="D518" i="1"/>
  <c r="F521" i="1" l="1"/>
  <c r="F523" i="1"/>
  <c r="F522" i="1"/>
  <c r="D522" i="1"/>
  <c r="D523" i="1"/>
  <c r="D521" i="1"/>
  <c r="C522" i="1"/>
  <c r="C523" i="1"/>
  <c r="C521" i="1"/>
  <c r="E521" i="1"/>
  <c r="C519" i="1"/>
  <c r="D519" i="1"/>
  <c r="F519" i="1"/>
  <c r="E519" i="1"/>
  <c r="E523" i="1"/>
  <c r="E522" i="1"/>
  <c r="C525" i="1" l="1" a="1"/>
  <c r="C525" i="1" l="1"/>
  <c r="C529" i="1" a="1"/>
  <c r="C529" i="1" l="1"/>
  <c r="C530" i="1" s="1"/>
  <c r="D530" i="1"/>
  <c r="F530" i="1"/>
  <c r="E53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<sst xmlns="http://schemas.openxmlformats.org/spreadsheetml/2006/main" count="225" uniqueCount="9">
  <si>
    <t>A0</t>
    <phoneticPr fontId="2" type="noConversion"/>
  </si>
  <si>
    <t>A1</t>
    <phoneticPr fontId="2" type="noConversion"/>
  </si>
  <si>
    <t>x0</t>
    <phoneticPr fontId="2" type="noConversion"/>
  </si>
  <si>
    <t>x1</t>
    <phoneticPr fontId="2" type="noConversion"/>
  </si>
  <si>
    <t>xk</t>
    <phoneticPr fontId="2" type="noConversion"/>
  </si>
  <si>
    <t>F(x)</t>
    <phoneticPr fontId="2" type="noConversion"/>
  </si>
  <si>
    <t>J(x)</t>
    <phoneticPr fontId="2" type="noConversion"/>
  </si>
  <si>
    <t>InvJ(x)</t>
    <phoneticPr fontId="2" type="noConversion"/>
  </si>
  <si>
    <t>dk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</si>
</sst>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0"/>
  <sheetViews>
    <sheetView tabSelected="1" topLeftCell="A494" workbookViewId="0">
      <selection activeCell="C530" sqref="C530:F530"/>
    </sheetView>
  </sheetViews>
  <sheetFormatPr defaultColWidth="9" defaultRowHeight="14" x14ac:dyDescent="0.25"/>
  <sheetData>
    <row r="1" spans="1:6" x14ac:dyDescent="0.2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>
        <v>1</v>
      </c>
      <c r="B2" s="1" t="s">
        <v>4</v>
      </c>
      <c r="C2">
        <v>0.3</v>
      </c>
      <c r="D2">
        <v>0.3</v>
      </c>
      <c r="E2">
        <v>0.1</v>
      </c>
      <c r="F2">
        <v>0.5</v>
      </c>
    </row>
    <row r="3" spans="1:6" x14ac:dyDescent="0.25">
      <c r="B3" s="1" t="s">
        <v>5</v>
      </c>
      <c r="C3">
        <f>C2+D2-2</f>
        <v>-1.4</v>
      </c>
      <c r="D3">
        <f>C2*E2+D2*F2-2/3</f>
        <v>-0.48666666666666664</v>
      </c>
      <c r="E3">
        <f>C2*E2*E2+D2*F2*F2-2/5</f>
        <v>-0.32200000000000001</v>
      </c>
      <c r="F3">
        <f>C2*E2*E2*E2+D2*F2*F2*F2-2/7</f>
        <v>-0.2479142857142857</v>
      </c>
    </row>
    <row r="4" spans="1:6" x14ac:dyDescent="0.25">
      <c r="C4" s="2">
        <f>1</f>
        <v>1</v>
      </c>
      <c r="D4" s="3">
        <f>1</f>
        <v>1</v>
      </c>
      <c r="E4" s="3">
        <f>0</f>
        <v>0</v>
      </c>
      <c r="F4" s="4">
        <f>0</f>
        <v>0</v>
      </c>
    </row>
    <row r="5" spans="1:6" x14ac:dyDescent="0.25">
      <c r="B5" s="1" t="s">
        <v>6</v>
      </c>
      <c r="C5" s="5">
        <f>E2</f>
        <v>0.1</v>
      </c>
      <c r="D5" s="6">
        <f>F2</f>
        <v>0.5</v>
      </c>
      <c r="E5" s="6">
        <f>C2</f>
        <v>0.3</v>
      </c>
      <c r="F5" s="7">
        <f>D2</f>
        <v>0.3</v>
      </c>
    </row>
    <row r="6" spans="1:6" x14ac:dyDescent="0.25">
      <c r="C6" s="5">
        <f>E2*E2</f>
        <v>1.0000000000000002E-2</v>
      </c>
      <c r="D6" s="6">
        <f>F2*F2</f>
        <v>0.25</v>
      </c>
      <c r="E6" s="6">
        <f>2*C2*E2</f>
        <v>0.06</v>
      </c>
      <c r="F6" s="7">
        <f>2*D2*F2</f>
        <v>0.3</v>
      </c>
    </row>
    <row r="7" spans="1:6" x14ac:dyDescent="0.25">
      <c r="C7" s="8">
        <f>E2*E2*E2</f>
        <v>1.0000000000000002E-3</v>
      </c>
      <c r="D7" s="9">
        <f>F2*F2*F2</f>
        <v>0.125</v>
      </c>
      <c r="E7" s="9">
        <f>3*C2*E2*E2</f>
        <v>8.9999999999999993E-3</v>
      </c>
      <c r="F7" s="10">
        <f>3*D2*F2*F2</f>
        <v>0.22499999999999998</v>
      </c>
    </row>
    <row r="9" spans="1:6" x14ac:dyDescent="0.25">
      <c r="C9" s="2" cm="1">
        <f t="array" ref="C9:F12">MINVERSE(C4:F7)</f>
        <v>0.78124999999999978</v>
      </c>
      <c r="D9" s="3">
        <v>4.6875000000000018</v>
      </c>
      <c r="E9" s="3">
        <v>-28.125000000000011</v>
      </c>
      <c r="F9" s="4">
        <v>31.250000000000018</v>
      </c>
    </row>
    <row r="10" spans="1:6" x14ac:dyDescent="0.25">
      <c r="B10" s="1" t="s">
        <v>7</v>
      </c>
      <c r="C10" s="5">
        <v>0.21875000000000019</v>
      </c>
      <c r="D10" s="6">
        <v>-4.6875000000000018</v>
      </c>
      <c r="E10" s="6">
        <v>28.125000000000011</v>
      </c>
      <c r="F10" s="7">
        <v>-31.250000000000018</v>
      </c>
    </row>
    <row r="11" spans="1:6" x14ac:dyDescent="0.25">
      <c r="C11" s="5">
        <v>-0.52083333333333348</v>
      </c>
      <c r="D11" s="6">
        <v>7.2916666666666687</v>
      </c>
      <c r="E11" s="6">
        <v>-22.916666666666675</v>
      </c>
      <c r="F11" s="7">
        <v>20.833333333333346</v>
      </c>
    </row>
    <row r="12" spans="1:6" x14ac:dyDescent="0.25">
      <c r="C12" s="8">
        <v>-0.10416666666666682</v>
      </c>
      <c r="D12" s="9">
        <v>2.2916666666666687</v>
      </c>
      <c r="E12" s="9">
        <v>-14.583333333333343</v>
      </c>
      <c r="F12" s="10">
        <v>20.833333333333346</v>
      </c>
    </row>
    <row r="13" spans="1:6" x14ac:dyDescent="0.25">
      <c r="B13" s="1" t="s">
        <v>8</v>
      </c>
      <c r="C13" cm="1">
        <f t="array" ref="C13:F13">-TRANSPOSE(MMULT(_xlfn.ANCHORARRAY(C9),TRANSPOSE(C3:F3)))</f>
        <v>2.066071428571429</v>
      </c>
      <c r="D13">
        <v>-0.66607142857142954</v>
      </c>
      <c r="E13">
        <v>0.60515873015873201</v>
      </c>
      <c r="F13">
        <v>1.4384920634920642</v>
      </c>
    </row>
    <row r="14" spans="1:6" x14ac:dyDescent="0.25">
      <c r="A14">
        <v>2</v>
      </c>
      <c r="B14" s="1" t="s">
        <v>4</v>
      </c>
      <c r="C14">
        <f>C2+C13</f>
        <v>2.3660714285714288</v>
      </c>
      <c r="D14">
        <f t="shared" ref="D14:F14" si="0">D2+D13</f>
        <v>-0.36607142857142955</v>
      </c>
      <c r="E14">
        <f t="shared" si="0"/>
        <v>0.70515873015873198</v>
      </c>
      <c r="F14">
        <f t="shared" si="0"/>
        <v>1.9384920634920642</v>
      </c>
    </row>
    <row r="15" spans="1:6" x14ac:dyDescent="0.25">
      <c r="B15" s="1" t="s">
        <v>5</v>
      </c>
      <c r="C15">
        <f t="shared" ref="C15:C78" si="1">C14+D14-2</f>
        <v>0</v>
      </c>
      <c r="D15">
        <f t="shared" ref="D15:D78" si="2">C14*E14+D14*F14-2/3</f>
        <v>0.29216269841270082</v>
      </c>
      <c r="E15">
        <f t="shared" ref="E15:E78" si="3">C14*E14*E14+D14*F14*F14-2/5</f>
        <v>-0.59907919186192837</v>
      </c>
      <c r="F15">
        <f t="shared" ref="F15:F78" si="4">C14*E14*E14*E14+D14*F14*F14*F14-2/7</f>
        <v>-2.1226767740321106</v>
      </c>
    </row>
    <row r="16" spans="1:6" x14ac:dyDescent="0.25">
      <c r="C16" s="2">
        <f>1</f>
        <v>1</v>
      </c>
      <c r="D16" s="3">
        <f>1</f>
        <v>1</v>
      </c>
      <c r="E16" s="3">
        <f>0</f>
        <v>0</v>
      </c>
      <c r="F16" s="4">
        <f>0</f>
        <v>0</v>
      </c>
    </row>
    <row r="17" spans="1:6" x14ac:dyDescent="0.25">
      <c r="B17" s="1" t="s">
        <v>6</v>
      </c>
      <c r="C17" s="5">
        <f t="shared" ref="C17:D17" si="5">E14</f>
        <v>0.70515873015873198</v>
      </c>
      <c r="D17" s="6">
        <f t="shared" si="5"/>
        <v>1.9384920634920642</v>
      </c>
      <c r="E17" s="6">
        <f t="shared" ref="E17:F17" si="6">C14</f>
        <v>2.3660714285714288</v>
      </c>
      <c r="F17" s="7">
        <f t="shared" si="6"/>
        <v>-0.36607142857142955</v>
      </c>
    </row>
    <row r="18" spans="1:6" x14ac:dyDescent="0.25">
      <c r="C18" s="5">
        <f t="shared" ref="C18:D18" si="7">E14*E14</f>
        <v>0.49724883471907538</v>
      </c>
      <c r="D18" s="6">
        <f t="shared" si="7"/>
        <v>3.7577514802217209</v>
      </c>
      <c r="E18" s="6">
        <f t="shared" ref="E18:F18" si="8">2*C14*E14</f>
        <v>3.3369118480725715</v>
      </c>
      <c r="F18" s="7">
        <f t="shared" si="8"/>
        <v>-1.4192531179138366</v>
      </c>
    </row>
    <row r="19" spans="1:6" x14ac:dyDescent="0.25">
      <c r="C19" s="8">
        <f t="shared" ref="C19:D19" si="9">E14*E14*E14</f>
        <v>0.35063935686341241</v>
      </c>
      <c r="D19" s="9">
        <f t="shared" si="9"/>
        <v>7.2843714209853623</v>
      </c>
      <c r="E19" s="9">
        <f t="shared" ref="E19:F19" si="10">3*C14*E14*E14</f>
        <v>3.5295787821577234</v>
      </c>
      <c r="F19" s="10">
        <f t="shared" si="10"/>
        <v>-4.1268163577435084</v>
      </c>
    </row>
    <row r="21" spans="1:6" x14ac:dyDescent="0.25">
      <c r="C21" s="2" cm="1">
        <f t="array" ref="C21:F24">MINVERSE(C16:F19)</f>
        <v>-0.35450385681124774</v>
      </c>
      <c r="D21" s="3">
        <v>4.3718047402958486</v>
      </c>
      <c r="E21" s="3">
        <v>-4.2275030952898227</v>
      </c>
      <c r="F21" s="4">
        <v>1.0660770339367902</v>
      </c>
    </row>
    <row r="22" spans="1:6" x14ac:dyDescent="0.25">
      <c r="B22" s="1" t="s">
        <v>7</v>
      </c>
      <c r="C22" s="5">
        <v>1.3545038568112477</v>
      </c>
      <c r="D22" s="6">
        <v>-4.3718047402958486</v>
      </c>
      <c r="E22" s="6">
        <v>4.2275030952898227</v>
      </c>
      <c r="F22" s="7">
        <v>-1.0660770339367902</v>
      </c>
    </row>
    <row r="23" spans="1:6" x14ac:dyDescent="0.25">
      <c r="C23" s="5">
        <v>-0.73625143050060315</v>
      </c>
      <c r="D23" s="6">
        <v>1.8037057236445384</v>
      </c>
      <c r="E23" s="6">
        <v>-1.273150764226751</v>
      </c>
      <c r="F23" s="7">
        <v>0.27785051752415446</v>
      </c>
    </row>
    <row r="24" spans="1:6" x14ac:dyDescent="0.25">
      <c r="C24" s="8">
        <v>1.731055645105158</v>
      </c>
      <c r="D24" s="9">
        <v>-5.8026815778958385</v>
      </c>
      <c r="E24" s="9">
        <v>6.0140034563238363</v>
      </c>
      <c r="F24" s="10">
        <v>-1.7958631010707484</v>
      </c>
    </row>
    <row r="25" spans="1:6" x14ac:dyDescent="0.25">
      <c r="B25" s="1" t="s">
        <v>8</v>
      </c>
      <c r="C25" cm="1">
        <f t="array" ref="C25:F25">-TRANSPOSE(MMULT(_xlfn.ANCHORARRAY(C21),TRANSPOSE(C15:F15)))</f>
        <v>-1.546950448511633</v>
      </c>
      <c r="D25">
        <v>1.546950448511633</v>
      </c>
      <c r="E25">
        <v>-0.69990682211245536</v>
      </c>
      <c r="F25">
        <v>1.4861545443128854</v>
      </c>
    </row>
    <row r="26" spans="1:6" x14ac:dyDescent="0.25">
      <c r="A26">
        <v>3</v>
      </c>
      <c r="B26" s="1" t="s">
        <v>4</v>
      </c>
      <c r="C26">
        <f t="shared" ref="C26" si="11">C14+C25</f>
        <v>0.81912098005979583</v>
      </c>
      <c r="D26">
        <f t="shared" ref="D26" si="12">D14+D25</f>
        <v>1.1808790199402035</v>
      </c>
      <c r="E26">
        <f t="shared" ref="E26" si="13">E14+E25</f>
        <v>5.251908046276621E-3</v>
      </c>
      <c r="F26">
        <f t="shared" ref="F26" si="14">F14+F25</f>
        <v>3.4246466078049496</v>
      </c>
    </row>
    <row r="27" spans="1:6" x14ac:dyDescent="0.25">
      <c r="B27" s="1" t="s">
        <v>5</v>
      </c>
      <c r="C27">
        <f t="shared" ref="C27:C90" si="15">C26+D26-2</f>
        <v>0</v>
      </c>
      <c r="D27">
        <f t="shared" ref="D27:D90" si="16">C26*E26+D26*F26-2/3</f>
        <v>3.3817286112656348</v>
      </c>
      <c r="E27">
        <f t="shared" ref="E27:E90" si="17">C26*E26*E26+D26*F26*F26-2/5</f>
        <v>13.449613097208742</v>
      </c>
      <c r="F27">
        <f t="shared" ref="F27:F90" si="18">C26*E26*E26*E26+D26*F26*F26*F26-2/7</f>
        <v>47.144238971178481</v>
      </c>
    </row>
    <row r="28" spans="1:6" x14ac:dyDescent="0.25">
      <c r="C28" s="2">
        <f>1</f>
        <v>1</v>
      </c>
      <c r="D28" s="3">
        <f>1</f>
        <v>1</v>
      </c>
      <c r="E28" s="3">
        <f>0</f>
        <v>0</v>
      </c>
      <c r="F28" s="4">
        <f>0</f>
        <v>0</v>
      </c>
    </row>
    <row r="29" spans="1:6" x14ac:dyDescent="0.25">
      <c r="B29" s="1" t="s">
        <v>6</v>
      </c>
      <c r="C29" s="5">
        <f t="shared" ref="C29:D29" si="19">E26</f>
        <v>5.251908046276621E-3</v>
      </c>
      <c r="D29" s="6">
        <f t="shared" si="19"/>
        <v>3.4246466078049496</v>
      </c>
      <c r="E29" s="6">
        <f t="shared" ref="E29:F29" si="20">C26</f>
        <v>0.81912098005979583</v>
      </c>
      <c r="F29" s="7">
        <f t="shared" si="20"/>
        <v>1.1808790199402035</v>
      </c>
    </row>
    <row r="30" spans="1:6" x14ac:dyDescent="0.25">
      <c r="C30" s="5">
        <f t="shared" ref="C30:D30" si="21">E26*E26</f>
        <v>2.7582538126545116E-5</v>
      </c>
      <c r="D30" s="6">
        <f t="shared" si="21"/>
        <v>11.728204388349948</v>
      </c>
      <c r="E30" s="6">
        <f t="shared" ref="E30:F30" si="22">2*C26*E26</f>
        <v>8.6038961321000668E-3</v>
      </c>
      <c r="F30" s="7">
        <f t="shared" si="22"/>
        <v>8.0881866597325018</v>
      </c>
    </row>
    <row r="31" spans="1:6" x14ac:dyDescent="0.25">
      <c r="C31" s="8">
        <f t="shared" ref="C31:D31" si="23">E26*E26*E26</f>
        <v>1.4486095392353398E-7</v>
      </c>
      <c r="D31" s="9">
        <f t="shared" si="23"/>
        <v>40.164955374205775</v>
      </c>
      <c r="E31" s="9">
        <f t="shared" ref="E31:F31" si="24">3*C26*E26*E26</f>
        <v>6.778030698825695E-5</v>
      </c>
      <c r="F31" s="10">
        <f t="shared" si="24"/>
        <v>41.548771511319245</v>
      </c>
    </row>
    <row r="33" spans="1:6" x14ac:dyDescent="0.25">
      <c r="C33" s="2" cm="1">
        <f t="array" ref="C33:F36">MINVERSE(C28:F31)</f>
        <v>0.99999291562601367</v>
      </c>
      <c r="D33" s="3">
        <v>2.6992084470564728E-3</v>
      </c>
      <c r="E33" s="3">
        <v>-0.25736816285196523</v>
      </c>
      <c r="F33" s="4">
        <v>5.0024446624789207E-2</v>
      </c>
    </row>
    <row r="34" spans="1:6" x14ac:dyDescent="0.25">
      <c r="B34" s="1" t="s">
        <v>7</v>
      </c>
      <c r="C34" s="5">
        <v>7.0843739863080724E-6</v>
      </c>
      <c r="D34" s="6">
        <v>-2.6992084470564728E-3</v>
      </c>
      <c r="E34" s="6">
        <v>0.25736816285196523</v>
      </c>
      <c r="F34" s="7">
        <v>-5.0024446624789207E-2</v>
      </c>
    </row>
    <row r="35" spans="1:6" x14ac:dyDescent="0.25">
      <c r="C35" s="5">
        <v>-6.4313496523724055E-3</v>
      </c>
      <c r="D35" s="6">
        <v>1.2283298456381349</v>
      </c>
      <c r="E35" s="6">
        <v>-0.71570182027534224</v>
      </c>
      <c r="F35" s="7">
        <v>0.1044127374412251</v>
      </c>
    </row>
    <row r="36" spans="1:6" x14ac:dyDescent="0.25">
      <c r="C36" s="8">
        <v>-6.8414178265341986E-6</v>
      </c>
      <c r="D36" s="9">
        <v>2.607305244323762E-3</v>
      </c>
      <c r="E36" s="9">
        <v>-0.24879513525695085</v>
      </c>
      <c r="F36" s="10">
        <v>7.2426270921396571E-2</v>
      </c>
    </row>
    <row r="37" spans="1:6" x14ac:dyDescent="0.25">
      <c r="B37" s="1" t="s">
        <v>8</v>
      </c>
      <c r="C37" cm="1">
        <f t="array" ref="C37:F37">-TRANSPOSE(MMULT(_xlfn.ANCHORARRAY(C33),TRANSPOSE(C27:F27)))</f>
        <v>1.0940097573851379</v>
      </c>
      <c r="D37">
        <v>-1.0940097573851379</v>
      </c>
      <c r="E37">
        <v>0.54957534704136801</v>
      </c>
      <c r="F37">
        <v>-7.7100313178961155E-2</v>
      </c>
    </row>
    <row r="38" spans="1:6" x14ac:dyDescent="0.25">
      <c r="A38">
        <v>4</v>
      </c>
      <c r="B38" s="1" t="s">
        <v>4</v>
      </c>
      <c r="C38">
        <f t="shared" ref="C38" si="25">C26+C37</f>
        <v>1.9131307374449338</v>
      </c>
      <c r="D38">
        <f t="shared" ref="D38" si="26">D26+D37</f>
        <v>8.6869262555065552E-2</v>
      </c>
      <c r="E38">
        <f t="shared" ref="E38" si="27">E26+E37</f>
        <v>0.55482725508764463</v>
      </c>
      <c r="F38">
        <f t="shared" ref="F38" si="28">F26+F37</f>
        <v>3.3475462946259884</v>
      </c>
    </row>
    <row r="39" spans="1:6" x14ac:dyDescent="0.25">
      <c r="B39" s="1" t="s">
        <v>5</v>
      </c>
      <c r="C39">
        <f t="shared" ref="C39:C102" si="29">C38+D38-2</f>
        <v>0</v>
      </c>
      <c r="D39">
        <f t="shared" ref="D39:D102" si="30">C38*E38+D38*F38-2/3</f>
        <v>0.68558928699680932</v>
      </c>
      <c r="E39">
        <f t="shared" ref="E39:E102" si="31">C38*E38*E38+D38*F38*F38-2/5</f>
        <v>1.1623880221668279</v>
      </c>
      <c r="F39">
        <f t="shared" ref="F39:F102" si="32">C38*E38*E38*E38+D38*F38*F38*F38-2/7</f>
        <v>3.2997490066560546</v>
      </c>
    </row>
    <row r="40" spans="1:6" x14ac:dyDescent="0.25">
      <c r="C40" s="2">
        <f>1</f>
        <v>1</v>
      </c>
      <c r="D40" s="3">
        <f>1</f>
        <v>1</v>
      </c>
      <c r="E40" s="3">
        <f>0</f>
        <v>0</v>
      </c>
      <c r="F40" s="4">
        <f>0</f>
        <v>0</v>
      </c>
    </row>
    <row r="41" spans="1:6" x14ac:dyDescent="0.25">
      <c r="B41" s="1" t="s">
        <v>6</v>
      </c>
      <c r="C41" s="5">
        <f t="shared" ref="C41:D41" si="33">E38</f>
        <v>0.55482725508764463</v>
      </c>
      <c r="D41" s="6">
        <f t="shared" si="33"/>
        <v>3.3475462946259884</v>
      </c>
      <c r="E41" s="6">
        <f t="shared" ref="E41:F41" si="34">C38</f>
        <v>1.9131307374449338</v>
      </c>
      <c r="F41" s="7">
        <f t="shared" si="34"/>
        <v>8.6869262555065552E-2</v>
      </c>
    </row>
    <row r="42" spans="1:6" x14ac:dyDescent="0.25">
      <c r="C42" s="5">
        <f t="shared" ref="C42:D42" si="35">E38*E38</f>
        <v>0.30783328298809026</v>
      </c>
      <c r="D42" s="6">
        <f t="shared" si="35"/>
        <v>11.206066194664185</v>
      </c>
      <c r="E42" s="6">
        <f t="shared" ref="E42:F42" si="36">2*C38*E38</f>
        <v>2.1229141513607481</v>
      </c>
      <c r="F42" s="7">
        <f t="shared" si="36"/>
        <v>0.58159775596620367</v>
      </c>
    </row>
    <row r="43" spans="1:6" x14ac:dyDescent="0.25">
      <c r="C43" s="8">
        <f t="shared" ref="C43:D43" si="37">E38*E38*E38</f>
        <v>0.17079429542490027</v>
      </c>
      <c r="D43" s="9">
        <f t="shared" si="37"/>
        <v>37.512825367281643</v>
      </c>
      <c r="E43" s="9">
        <f t="shared" ref="E43:F43" si="38">3*C38*E38*E38</f>
        <v>1.7667759470793003</v>
      </c>
      <c r="F43" s="10">
        <f t="shared" si="38"/>
        <v>2.9203881194211823</v>
      </c>
    </row>
    <row r="45" spans="1:6" x14ac:dyDescent="0.25">
      <c r="C45" s="2" cm="1">
        <f t="array" ref="C45:F48">MINVERSE(C40:F43)</f>
        <v>0.86590891958158644</v>
      </c>
      <c r="D45" s="3">
        <v>0.51162751389288819</v>
      </c>
      <c r="E45" s="3">
        <v>-0.53748748497794718</v>
      </c>
      <c r="F45" s="4">
        <v>9.1822319268126729E-2</v>
      </c>
    </row>
    <row r="46" spans="1:6" x14ac:dyDescent="0.25">
      <c r="B46" s="1" t="s">
        <v>7</v>
      </c>
      <c r="C46" s="5">
        <v>0.13409108041841356</v>
      </c>
      <c r="D46" s="6">
        <v>-0.51162751389288819</v>
      </c>
      <c r="E46" s="6">
        <v>0.53748748497794718</v>
      </c>
      <c r="F46" s="7">
        <v>-9.1822319268126729E-2</v>
      </c>
    </row>
    <row r="47" spans="1:6" x14ac:dyDescent="0.25">
      <c r="C47" s="5">
        <v>-0.41668880195467001</v>
      </c>
      <c r="D47" s="6">
        <v>0.99997617064249988</v>
      </c>
      <c r="E47" s="6">
        <v>-0.48588563988902339</v>
      </c>
      <c r="F47" s="7">
        <v>6.7019449914108908E-2</v>
      </c>
    </row>
    <row r="48" spans="1:6" x14ac:dyDescent="0.25">
      <c r="C48" s="8">
        <v>-1.5209731215581392</v>
      </c>
      <c r="D48" s="9">
        <v>5.9370453398837553</v>
      </c>
      <c r="E48" s="9">
        <v>-6.5787225935576537</v>
      </c>
      <c r="F48" s="10">
        <v>1.4759762644014338</v>
      </c>
    </row>
    <row r="49" spans="1:6" x14ac:dyDescent="0.25">
      <c r="B49" s="1" t="s">
        <v>8</v>
      </c>
      <c r="C49" cm="1">
        <f t="array" ref="C49:F49">-TRANSPOSE(MMULT(_xlfn.ANCHORARRAY(C45),TRANSPOSE(C39:F39)))</f>
        <v>-2.8987934648692981E-2</v>
      </c>
      <c r="D49">
        <v>2.8987934648692981E-2</v>
      </c>
      <c r="E49">
        <v>-0.34193266517544185</v>
      </c>
      <c r="F49">
        <v>-1.293697549835473</v>
      </c>
    </row>
    <row r="50" spans="1:6" x14ac:dyDescent="0.25">
      <c r="A50">
        <v>5</v>
      </c>
      <c r="B50" s="1" t="s">
        <v>4</v>
      </c>
      <c r="C50">
        <f t="shared" ref="C50" si="39">C38+C49</f>
        <v>1.8841428027962408</v>
      </c>
      <c r="D50">
        <f t="shared" ref="D50" si="40">D38+D49</f>
        <v>0.11585719720375853</v>
      </c>
      <c r="E50">
        <f t="shared" ref="E50" si="41">E38+E49</f>
        <v>0.21289458991220278</v>
      </c>
      <c r="F50">
        <f t="shared" ref="F50" si="42">F38+F49</f>
        <v>2.0538487447905154</v>
      </c>
    </row>
    <row r="51" spans="1:6" x14ac:dyDescent="0.25">
      <c r="B51" s="1" t="s">
        <v>5</v>
      </c>
      <c r="C51">
        <f t="shared" ref="C51:C114" si="43">C50+D50-2</f>
        <v>0</v>
      </c>
      <c r="D51">
        <f t="shared" ref="D51:D114" si="44">C50*E50+D50*F50-2/3</f>
        <v>-2.7589698277445951E-2</v>
      </c>
      <c r="E51">
        <f t="shared" ref="E51:E114" si="45">C50*E50*E50+D50*F50*F50-2/5</f>
        <v>0.17411688593054764</v>
      </c>
      <c r="F51">
        <f t="shared" ref="F51:F114" si="46">C50*E50*E50*E50+D50*F50*F50*F50-2/7</f>
        <v>0.73622283420532642</v>
      </c>
    </row>
    <row r="52" spans="1:6" x14ac:dyDescent="0.25">
      <c r="C52" s="2">
        <f>1</f>
        <v>1</v>
      </c>
      <c r="D52" s="3">
        <f>1</f>
        <v>1</v>
      </c>
      <c r="E52" s="3">
        <f>0</f>
        <v>0</v>
      </c>
      <c r="F52" s="4">
        <f>0</f>
        <v>0</v>
      </c>
    </row>
    <row r="53" spans="1:6" x14ac:dyDescent="0.25">
      <c r="B53" s="1" t="s">
        <v>6</v>
      </c>
      <c r="C53" s="5">
        <f t="shared" ref="C53:D53" si="47">E50</f>
        <v>0.21289458991220278</v>
      </c>
      <c r="D53" s="6">
        <f t="shared" si="47"/>
        <v>2.0538487447905154</v>
      </c>
      <c r="E53" s="6">
        <f t="shared" ref="E53:F53" si="48">C50</f>
        <v>1.8841428027962408</v>
      </c>
      <c r="F53" s="7">
        <f t="shared" si="48"/>
        <v>0.11585719720375853</v>
      </c>
    </row>
    <row r="54" spans="1:6" x14ac:dyDescent="0.25">
      <c r="C54" s="5">
        <f t="shared" ref="C54:D54" si="49">E50*E50</f>
        <v>4.5324106413884992E-2</v>
      </c>
      <c r="D54" s="6">
        <f t="shared" si="49"/>
        <v>4.2182946664775756</v>
      </c>
      <c r="E54" s="6">
        <f t="shared" ref="E54:F54" si="50">2*C50*E50</f>
        <v>0.80224761867466809</v>
      </c>
      <c r="F54" s="7">
        <f t="shared" si="50"/>
        <v>0.47590631810377332</v>
      </c>
    </row>
    <row r="55" spans="1:6" x14ac:dyDescent="0.25">
      <c r="C55" s="8">
        <f t="shared" ref="C55:D55" si="51">E50*E50*E50</f>
        <v>9.6492570481210849E-3</v>
      </c>
      <c r="D55" s="9">
        <f t="shared" si="51"/>
        <v>8.6637392059014946</v>
      </c>
      <c r="E55" s="9">
        <f t="shared" ref="E55:F55" si="52">3*C50*E50*E50</f>
        <v>0.25619126667867703</v>
      </c>
      <c r="F55" s="10">
        <f t="shared" si="52"/>
        <v>1.4661593911129658</v>
      </c>
    </row>
    <row r="57" spans="1:6" x14ac:dyDescent="0.25">
      <c r="C57" s="2" cm="1">
        <f t="array" ref="C57:F60">MINVERSE(C52:F55)</f>
        <v>0.95678655723672634</v>
      </c>
      <c r="D57" s="3">
        <v>0.42048974854409343</v>
      </c>
      <c r="E57" s="3">
        <v>-1.0899201501346212</v>
      </c>
      <c r="F57" s="4">
        <v>0.32055390758141389</v>
      </c>
    </row>
    <row r="58" spans="1:6" x14ac:dyDescent="0.25">
      <c r="B58" s="1" t="s">
        <v>7</v>
      </c>
      <c r="C58" s="5">
        <v>4.3213442763273678E-2</v>
      </c>
      <c r="D58" s="6">
        <v>-0.42048974854409343</v>
      </c>
      <c r="E58" s="6">
        <v>1.0899201501346212</v>
      </c>
      <c r="F58" s="7">
        <v>-0.32055390758141389</v>
      </c>
    </row>
    <row r="59" spans="1:6" x14ac:dyDescent="0.25">
      <c r="C59" s="5">
        <v>-0.14063770686961127</v>
      </c>
      <c r="D59" s="6">
        <v>0.79754824615386888</v>
      </c>
      <c r="E59" s="6">
        <v>-0.67661793061045294</v>
      </c>
      <c r="F59" s="7">
        <v>0.15660305767394142</v>
      </c>
    </row>
    <row r="60" spans="1:6" x14ac:dyDescent="0.25">
      <c r="C60" s="8">
        <v>-0.2370766286137212</v>
      </c>
      <c r="D60" s="9">
        <v>2.342604243352127</v>
      </c>
      <c r="E60" s="9">
        <v>-6.3150865231669755</v>
      </c>
      <c r="F60" s="10">
        <v>2.5467776809179457</v>
      </c>
    </row>
    <row r="61" spans="1:6" x14ac:dyDescent="0.25">
      <c r="B61" s="1" t="s">
        <v>8</v>
      </c>
      <c r="C61" cm="1">
        <f t="array" ref="C61:F61">-TRANSPOSE(MMULT(_xlfn.ANCHORARRAY(C57),TRANSPOSE(C51:F51)))</f>
        <v>-3.4624418609694951E-2</v>
      </c>
      <c r="D61">
        <v>3.4624418609694951E-2</v>
      </c>
      <c r="E61">
        <v>2.4519975549825518E-2</v>
      </c>
      <c r="F61">
        <v>-0.7108009382829259</v>
      </c>
    </row>
    <row r="62" spans="1:6" x14ac:dyDescent="0.25">
      <c r="A62">
        <v>6</v>
      </c>
      <c r="B62" s="1" t="s">
        <v>4</v>
      </c>
      <c r="C62">
        <f t="shared" ref="C62" si="53">C50+C61</f>
        <v>1.8495183841865459</v>
      </c>
      <c r="D62">
        <f t="shared" ref="D62" si="54">D50+D61</f>
        <v>0.15048161581345348</v>
      </c>
      <c r="E62">
        <f t="shared" ref="E62" si="55">E50+E61</f>
        <v>0.2374145654620283</v>
      </c>
      <c r="F62">
        <f t="shared" ref="F62" si="56">F50+F61</f>
        <v>1.3430478065075895</v>
      </c>
    </row>
    <row r="63" spans="1:6" x14ac:dyDescent="0.25">
      <c r="B63" s="1" t="s">
        <v>5</v>
      </c>
      <c r="C63">
        <f t="shared" ref="C63:C126" si="57">C62+D62-2</f>
        <v>0</v>
      </c>
      <c r="D63">
        <f t="shared" ref="D63:D126" si="58">C62*E62+D62*F62-2/3</f>
        <v>-2.5460059133008639E-2</v>
      </c>
      <c r="E63">
        <f t="shared" ref="E63:E126" si="59">C62*E62*E62+D62*F62*F62-2/5</f>
        <v>-2.4315306888222143E-2</v>
      </c>
      <c r="F63">
        <f t="shared" ref="F63:F126" si="60">C62*E62*E62*E62+D62*F62*F62*F62-2/7</f>
        <v>0.10358666638676306</v>
      </c>
    </row>
    <row r="64" spans="1:6" x14ac:dyDescent="0.25">
      <c r="C64" s="2">
        <f>1</f>
        <v>1</v>
      </c>
      <c r="D64" s="3">
        <f>1</f>
        <v>1</v>
      </c>
      <c r="E64" s="3">
        <f>0</f>
        <v>0</v>
      </c>
      <c r="F64" s="4">
        <f>0</f>
        <v>0</v>
      </c>
    </row>
    <row r="65" spans="1:6" x14ac:dyDescent="0.25">
      <c r="B65" s="1" t="s">
        <v>6</v>
      </c>
      <c r="C65" s="5">
        <f t="shared" ref="C65:D65" si="61">E62</f>
        <v>0.2374145654620283</v>
      </c>
      <c r="D65" s="6">
        <f t="shared" si="61"/>
        <v>1.3430478065075895</v>
      </c>
      <c r="E65" s="6">
        <f t="shared" ref="E65:F65" si="62">C62</f>
        <v>1.8495183841865459</v>
      </c>
      <c r="F65" s="7">
        <f t="shared" si="62"/>
        <v>0.15048161581345348</v>
      </c>
    </row>
    <row r="66" spans="1:6" x14ac:dyDescent="0.25">
      <c r="C66" s="5">
        <f t="shared" ref="C66:D66" si="63">E62*E62</f>
        <v>5.6365675893523717E-2</v>
      </c>
      <c r="D66" s="6">
        <f t="shared" si="63"/>
        <v>1.8037774105648474</v>
      </c>
      <c r="E66" s="6">
        <f t="shared" ref="E66:F66" si="64">2*C62*E62</f>
        <v>0.87820520699136306</v>
      </c>
      <c r="F66" s="7">
        <f t="shared" si="64"/>
        <v>0.40420800807595297</v>
      </c>
    </row>
    <row r="67" spans="1:6" x14ac:dyDescent="0.25">
      <c r="C67" s="8">
        <f t="shared" ref="C67:D67" si="65">E62*E62*E62</f>
        <v>1.3382032449234457E-2</v>
      </c>
      <c r="D67" s="9">
        <f t="shared" si="65"/>
        <v>2.422559294687058</v>
      </c>
      <c r="E67" s="9">
        <f t="shared" ref="E67:F67" si="66">3*C62*E62*E62</f>
        <v>0.31274806140651762</v>
      </c>
      <c r="F67" s="10">
        <f t="shared" si="66"/>
        <v>0.81430601792881607</v>
      </c>
    </row>
    <row r="69" spans="1:6" x14ac:dyDescent="0.25">
      <c r="C69" s="2" cm="1">
        <f t="array" ref="C69:F72">MINVERSE(C64:F67)</f>
        <v>0.8418683762464203</v>
      </c>
      <c r="D69" s="3">
        <v>1.415522639449496</v>
      </c>
      <c r="E69" s="3">
        <v>-3.5081015227409211</v>
      </c>
      <c r="F69" s="4">
        <v>1.4797785698493719</v>
      </c>
    </row>
    <row r="70" spans="1:6" x14ac:dyDescent="0.25">
      <c r="B70" s="1" t="s">
        <v>7</v>
      </c>
      <c r="C70" s="5">
        <v>0.15813162375357973</v>
      </c>
      <c r="D70" s="6">
        <v>-1.415522639449496</v>
      </c>
      <c r="E70" s="6">
        <v>3.5081015227409211</v>
      </c>
      <c r="F70" s="7">
        <v>-1.4797785698493719</v>
      </c>
    </row>
    <row r="71" spans="1:6" x14ac:dyDescent="0.25">
      <c r="C71" s="5">
        <v>-0.18941286627239934</v>
      </c>
      <c r="D71" s="6">
        <v>1.0798790718656828</v>
      </c>
      <c r="E71" s="6">
        <v>-1.2930752015448097</v>
      </c>
      <c r="F71" s="7">
        <v>0.44230227452751486</v>
      </c>
    </row>
    <row r="72" spans="1:6" x14ac:dyDescent="0.25">
      <c r="C72" s="8">
        <v>-0.41152911893898669</v>
      </c>
      <c r="D72" s="9">
        <v>3.7731697951589025</v>
      </c>
      <c r="E72" s="9">
        <v>-9.8823187874030829</v>
      </c>
      <c r="F72" s="10">
        <v>5.4361868968782536</v>
      </c>
    </row>
    <row r="73" spans="1:6" x14ac:dyDescent="0.25">
      <c r="B73" s="1" t="s">
        <v>8</v>
      </c>
      <c r="C73" cm="1">
        <f t="array" ref="C73:F73">-TRANSPOSE(MMULT(_xlfn.ANCHORARRAY(C69),TRANSPOSE(C63:F63)))</f>
        <v>-0.2025466040572565</v>
      </c>
      <c r="D73">
        <v>0.2025466040572565</v>
      </c>
      <c r="E73">
        <v>-4.9764353482501147E-2</v>
      </c>
      <c r="F73">
        <v>-0.70734296648234185</v>
      </c>
    </row>
    <row r="74" spans="1:6" x14ac:dyDescent="0.25">
      <c r="A74">
        <v>7</v>
      </c>
      <c r="B74" s="1" t="s">
        <v>4</v>
      </c>
      <c r="C74">
        <f t="shared" ref="C74" si="67">C62+C73</f>
        <v>1.6469717801292894</v>
      </c>
      <c r="D74">
        <f t="shared" ref="D74" si="68">D62+D73</f>
        <v>0.35302821987070998</v>
      </c>
      <c r="E74">
        <f t="shared" ref="E74" si="69">E62+E73</f>
        <v>0.18765021197952714</v>
      </c>
      <c r="F74">
        <f t="shared" ref="F74" si="70">F62+F73</f>
        <v>0.63570484002524763</v>
      </c>
    </row>
    <row r="75" spans="1:6" x14ac:dyDescent="0.25">
      <c r="B75" s="1" t="s">
        <v>5</v>
      </c>
      <c r="C75">
        <f t="shared" ref="C75:C138" si="71">C74+D74-2</f>
        <v>0</v>
      </c>
      <c r="D75">
        <f t="shared" ref="D75:D138" si="72">C74*E74+D74*F74-2/3</f>
        <v>-0.13319031496379863</v>
      </c>
      <c r="E75">
        <f t="shared" ref="E75:E138" si="73">C74*E74*E74+D74*F74*F74-2/5</f>
        <v>-0.19933984667466581</v>
      </c>
      <c r="F75">
        <f t="shared" ref="F75:F138" si="74">C74*E74*E74*E74+D74*F74*F74*F74-2/7</f>
        <v>-0.18413820768009859</v>
      </c>
    </row>
    <row r="76" spans="1:6" x14ac:dyDescent="0.25">
      <c r="C76" s="2">
        <f>1</f>
        <v>1</v>
      </c>
      <c r="D76" s="3">
        <f>1</f>
        <v>1</v>
      </c>
      <c r="E76" s="3">
        <f>0</f>
        <v>0</v>
      </c>
      <c r="F76" s="4">
        <f>0</f>
        <v>0</v>
      </c>
    </row>
    <row r="77" spans="1:6" x14ac:dyDescent="0.25">
      <c r="B77" s="1" t="s">
        <v>6</v>
      </c>
      <c r="C77" s="5">
        <f t="shared" ref="C77:D77" si="75">E74</f>
        <v>0.18765021197952714</v>
      </c>
      <c r="D77" s="6">
        <f t="shared" si="75"/>
        <v>0.63570484002524763</v>
      </c>
      <c r="E77" s="6">
        <f t="shared" ref="E77:F77" si="76">C74</f>
        <v>1.6469717801292894</v>
      </c>
      <c r="F77" s="7">
        <f t="shared" si="76"/>
        <v>0.35302821987070998</v>
      </c>
    </row>
    <row r="78" spans="1:6" x14ac:dyDescent="0.25">
      <c r="C78" s="5">
        <f t="shared" ref="C78:D78" si="77">E74*E74</f>
        <v>3.5212602055961467E-2</v>
      </c>
      <c r="D78" s="6">
        <f t="shared" si="77"/>
        <v>0.40412064363152567</v>
      </c>
      <c r="E78" s="6">
        <f t="shared" ref="E78:F78" si="78">2*C74*E74</f>
        <v>0.61810920733112062</v>
      </c>
      <c r="F78" s="7">
        <f t="shared" si="78"/>
        <v>0.44884349607461527</v>
      </c>
    </row>
    <row r="79" spans="1:6" x14ac:dyDescent="0.25">
      <c r="C79" s="8">
        <f t="shared" ref="C79:D79" si="79">E74*E74*E74</f>
        <v>6.6076522401519022E-3</v>
      </c>
      <c r="D79" s="9">
        <f t="shared" si="79"/>
        <v>0.25690144911067914</v>
      </c>
      <c r="E79" s="9">
        <f t="shared" ref="E79:F79" si="80">3*C74*E74*E74</f>
        <v>0.1739824856732734</v>
      </c>
      <c r="F79" s="10">
        <f t="shared" si="80"/>
        <v>0.42799797430272923</v>
      </c>
    </row>
    <row r="81" spans="1:6" x14ac:dyDescent="0.25">
      <c r="C81" s="2" cm="1">
        <f t="array" ref="C81:F84">MINVERSE(C76:F79)</f>
        <v>0.32687087621764388</v>
      </c>
      <c r="D81" s="3">
        <v>7.9572485718616441</v>
      </c>
      <c r="E81" s="3">
        <v>-27.460946785001308</v>
      </c>
      <c r="F81" s="4">
        <v>22.234997905328175</v>
      </c>
    </row>
    <row r="82" spans="1:6" x14ac:dyDescent="0.25">
      <c r="B82" s="1" t="s">
        <v>7</v>
      </c>
      <c r="C82" s="5">
        <v>0.67312912378235612</v>
      </c>
      <c r="D82" s="6">
        <v>-7.9572485718616441</v>
      </c>
      <c r="E82" s="6">
        <v>27.460946785001308</v>
      </c>
      <c r="F82" s="7">
        <v>-22.234997905328175</v>
      </c>
    </row>
    <row r="83" spans="1:6" x14ac:dyDescent="0.25">
      <c r="C83" s="5">
        <v>-0.22935700154204017</v>
      </c>
      <c r="D83" s="6">
        <v>1.9438414638871802</v>
      </c>
      <c r="E83" s="6">
        <v>-4.4129095534887082</v>
      </c>
      <c r="F83" s="7">
        <v>3.0244882870085128</v>
      </c>
    </row>
    <row r="84" spans="1:6" x14ac:dyDescent="0.25">
      <c r="C84" s="8">
        <v>-0.3158510163538733</v>
      </c>
      <c r="D84" s="9">
        <v>3.863232275212714</v>
      </c>
      <c r="E84" s="9">
        <v>-14.265337758331631</v>
      </c>
      <c r="F84" s="10">
        <v>14.11005290132014</v>
      </c>
    </row>
    <row r="85" spans="1:6" x14ac:dyDescent="0.25">
      <c r="B85" s="1" t="s">
        <v>8</v>
      </c>
      <c r="C85" cm="1">
        <f t="array" ref="C85:F85">-TRANSPOSE(MMULT(_xlfn.ANCHORARRAY(C81),TRANSPOSE(C75:F75)))</f>
        <v>-0.31991981607395203</v>
      </c>
      <c r="D85">
        <v>0.31991981607395203</v>
      </c>
      <c r="E85">
        <v>-6.3844004647582886E-2</v>
      </c>
      <c r="F85">
        <v>0.26909473352621083</v>
      </c>
    </row>
    <row r="86" spans="1:6" x14ac:dyDescent="0.25">
      <c r="A86">
        <v>8</v>
      </c>
      <c r="B86" s="1" t="s">
        <v>4</v>
      </c>
      <c r="C86">
        <f t="shared" ref="C86" si="81">C74+C85</f>
        <v>1.3270519640553373</v>
      </c>
      <c r="D86">
        <f t="shared" ref="D86" si="82">D74+D85</f>
        <v>0.67294803594466202</v>
      </c>
      <c r="E86">
        <f t="shared" ref="E86" si="83">E74+E85</f>
        <v>0.12380620733194425</v>
      </c>
      <c r="F86">
        <f t="shared" ref="F86" si="84">F74+F85</f>
        <v>0.90479957355145846</v>
      </c>
    </row>
    <row r="87" spans="1:6" x14ac:dyDescent="0.25">
      <c r="B87" s="1" t="s">
        <v>5</v>
      </c>
      <c r="C87">
        <f t="shared" ref="C87:C150" si="85">C86+D86-2</f>
        <v>0</v>
      </c>
      <c r="D87">
        <f t="shared" ref="D87:D150" si="86">C86*E86+D86*F86-2/3</f>
        <v>0.106513699880454</v>
      </c>
      <c r="E87">
        <f t="shared" ref="E87:E150" si="87">C86*E86*E86+D86*F86*F86-2/5</f>
        <v>0.17125818750198352</v>
      </c>
      <c r="F87">
        <f t="shared" ref="F87:F150" si="88">C86*E86*E86*E86+D86*F86*F86*F86-2/7</f>
        <v>0.21527367552159016</v>
      </c>
    </row>
    <row r="88" spans="1:6" x14ac:dyDescent="0.25">
      <c r="C88" s="2">
        <f>1</f>
        <v>1</v>
      </c>
      <c r="D88" s="3">
        <f>1</f>
        <v>1</v>
      </c>
      <c r="E88" s="3">
        <f>0</f>
        <v>0</v>
      </c>
      <c r="F88" s="4">
        <f>0</f>
        <v>0</v>
      </c>
    </row>
    <row r="89" spans="1:6" x14ac:dyDescent="0.25">
      <c r="B89" s="1" t="s">
        <v>6</v>
      </c>
      <c r="C89" s="5">
        <f t="shared" ref="C89:D89" si="89">E86</f>
        <v>0.12380620733194425</v>
      </c>
      <c r="D89" s="6">
        <f t="shared" si="89"/>
        <v>0.90479957355145846</v>
      </c>
      <c r="E89" s="6">
        <f t="shared" ref="E89:F89" si="90">C86</f>
        <v>1.3270519640553373</v>
      </c>
      <c r="F89" s="7">
        <f t="shared" si="90"/>
        <v>0.67294803594466202</v>
      </c>
    </row>
    <row r="90" spans="1:6" x14ac:dyDescent="0.25">
      <c r="C90" s="5">
        <f t="shared" ref="C90:D90" si="91">E86*E86</f>
        <v>1.5327976973920366E-2</v>
      </c>
      <c r="D90" s="6">
        <f t="shared" si="91"/>
        <v>0.8186622682989011</v>
      </c>
      <c r="E90" s="6">
        <f t="shared" ref="E90:F90" si="92">2*C86*E86</f>
        <v>0.32859454120419784</v>
      </c>
      <c r="F90" s="7">
        <f t="shared" si="92"/>
        <v>1.2177661918900435</v>
      </c>
    </row>
    <row r="91" spans="1:6" x14ac:dyDescent="0.25">
      <c r="C91" s="8">
        <f t="shared" ref="C91:D91" si="93">E86*E86*E86</f>
        <v>1.8976986952124522E-3</v>
      </c>
      <c r="D91" s="9">
        <f t="shared" si="93"/>
        <v>0.74072527123951537</v>
      </c>
      <c r="E91" s="9">
        <f t="shared" ref="E91:F91" si="94">3*C86*E86*E86</f>
        <v>6.1023065844708027E-2</v>
      </c>
      <c r="F91" s="10">
        <f t="shared" si="94"/>
        <v>1.6527514966612422</v>
      </c>
    </row>
    <row r="93" spans="1:6" x14ac:dyDescent="0.25">
      <c r="C93" s="2" cm="1">
        <f t="array" ref="C93:F96">MINVERSE(C88:F91)</f>
        <v>0.91664303178340834</v>
      </c>
      <c r="D93" s="3">
        <v>1.4109253040277798</v>
      </c>
      <c r="E93" s="3">
        <v>-6.4778096261407212</v>
      </c>
      <c r="F93" s="4">
        <v>4.198440093396683</v>
      </c>
    </row>
    <row r="94" spans="1:6" x14ac:dyDescent="0.25">
      <c r="B94" s="1" t="s">
        <v>7</v>
      </c>
      <c r="C94" s="5">
        <v>8.3356968216591623E-2</v>
      </c>
      <c r="D94" s="6">
        <v>-1.4109253040277798</v>
      </c>
      <c r="E94" s="6">
        <v>6.4778096261407212</v>
      </c>
      <c r="F94" s="7">
        <v>-4.198440093396683</v>
      </c>
    </row>
    <row r="95" spans="1:6" x14ac:dyDescent="0.25">
      <c r="C95" s="5">
        <v>-0.12521736919551668</v>
      </c>
      <c r="D95" s="6">
        <v>1.2881829173070261</v>
      </c>
      <c r="E95" s="6">
        <v>-2.3885827851184684</v>
      </c>
      <c r="F95" s="7">
        <v>1.2354278318509451</v>
      </c>
    </row>
    <row r="96" spans="1:6" x14ac:dyDescent="0.25">
      <c r="C96" s="8">
        <v>-3.3787884945086957E-2</v>
      </c>
      <c r="D96" s="9">
        <v>0.58316186576164564</v>
      </c>
      <c r="E96" s="9">
        <v>-2.8075761699733222</v>
      </c>
      <c r="F96" s="10">
        <v>2.4362608153020018</v>
      </c>
    </row>
    <row r="97" spans="1:6" x14ac:dyDescent="0.25">
      <c r="B97" s="1" t="s">
        <v>8</v>
      </c>
      <c r="C97" cm="1">
        <f t="array" ref="C97:F97">-TRANSPOSE(MMULT(_xlfn.ANCHORARRAY(C93),TRANSPOSE(C87:F87)))</f>
        <v>5.5281430806095821E-2</v>
      </c>
      <c r="D97">
        <v>-5.5281430806095821E-2</v>
      </c>
      <c r="E97">
        <v>5.9001396284384389E-3</v>
      </c>
      <c r="F97">
        <v>-0.10575714204735742</v>
      </c>
    </row>
    <row r="98" spans="1:6" x14ac:dyDescent="0.25">
      <c r="A98">
        <v>9</v>
      </c>
      <c r="B98" s="1" t="s">
        <v>4</v>
      </c>
      <c r="C98">
        <f t="shared" ref="C98" si="95">C86+C97</f>
        <v>1.3823333948614331</v>
      </c>
      <c r="D98">
        <f t="shared" ref="D98" si="96">D86+D97</f>
        <v>0.61766660513856619</v>
      </c>
      <c r="E98">
        <f t="shared" ref="E98" si="97">E86+E97</f>
        <v>0.12970634696038269</v>
      </c>
      <c r="F98">
        <f t="shared" ref="F98" si="98">F86+F97</f>
        <v>0.79904243150410104</v>
      </c>
    </row>
    <row r="99" spans="1:6" x14ac:dyDescent="0.25">
      <c r="B99" s="1" t="s">
        <v>5</v>
      </c>
      <c r="C99">
        <f t="shared" ref="C99:C162" si="99">C98+D98-2</f>
        <v>0</v>
      </c>
      <c r="D99">
        <f t="shared" ref="D99:D162" si="100">C98*E98+D98*F98-2/3</f>
        <v>6.1725742909575221E-3</v>
      </c>
      <c r="E99">
        <f t="shared" ref="E99:E162" si="101">C98*E98*E98+D98*F98*F98-2/5</f>
        <v>1.7616873428886404E-2</v>
      </c>
      <c r="F99">
        <f t="shared" ref="F99:F162" si="102">C98*E98*E98*E98+D98*F98*F98*F98-2/7</f>
        <v>3.241322777815725E-2</v>
      </c>
    </row>
    <row r="100" spans="1:6" x14ac:dyDescent="0.25">
      <c r="C100" s="2">
        <f>1</f>
        <v>1</v>
      </c>
      <c r="D100" s="3">
        <f>1</f>
        <v>1</v>
      </c>
      <c r="E100" s="3">
        <f>0</f>
        <v>0</v>
      </c>
      <c r="F100" s="4">
        <f>0</f>
        <v>0</v>
      </c>
    </row>
    <row r="101" spans="1:6" x14ac:dyDescent="0.25">
      <c r="B101" s="1" t="s">
        <v>6</v>
      </c>
      <c r="C101" s="5">
        <f t="shared" ref="C101:D101" si="103">E98</f>
        <v>0.12970634696038269</v>
      </c>
      <c r="D101" s="6">
        <f t="shared" si="103"/>
        <v>0.79904243150410104</v>
      </c>
      <c r="E101" s="6">
        <f t="shared" ref="E101:F101" si="104">C98</f>
        <v>1.3823333948614331</v>
      </c>
      <c r="F101" s="7">
        <f t="shared" si="104"/>
        <v>0.61766660513856619</v>
      </c>
    </row>
    <row r="102" spans="1:6" x14ac:dyDescent="0.25">
      <c r="C102" s="5">
        <f t="shared" ref="C102:D102" si="105">E98*E98</f>
        <v>1.6823736441807177E-2</v>
      </c>
      <c r="D102" s="6">
        <f t="shared" si="105"/>
        <v>0.63846880734398603</v>
      </c>
      <c r="E102" s="6">
        <f t="shared" ref="E102:F102" si="106">2*C98*E98</f>
        <v>0.35859482985764146</v>
      </c>
      <c r="F102" s="7">
        <f t="shared" si="106"/>
        <v>0.98708365205760684</v>
      </c>
    </row>
    <row r="103" spans="1:6" x14ac:dyDescent="0.25">
      <c r="C103" s="8">
        <f t="shared" ref="C103:D103" si="107">E98*E98*E98</f>
        <v>2.1821453960910757E-3</v>
      </c>
      <c r="D103" s="9">
        <f t="shared" si="107"/>
        <v>0.51016366825966208</v>
      </c>
      <c r="E103" s="9">
        <f t="shared" ref="E103:F103" si="108">3*C98*E98*E98</f>
        <v>6.9768038129571955E-2</v>
      </c>
      <c r="F103" s="10">
        <f t="shared" si="108"/>
        <v>1.1830825821570872</v>
      </c>
    </row>
    <row r="105" spans="1:6" x14ac:dyDescent="0.25">
      <c r="C105" s="2" cm="1">
        <f t="array" ref="C105:F108">MINVERSE(C100:F103)</f>
        <v>0.87278981210342987</v>
      </c>
      <c r="D105" s="3">
        <v>2.0737175545782067</v>
      </c>
      <c r="E105" s="3">
        <v>-9.2915205914514711</v>
      </c>
      <c r="F105" s="4">
        <v>6.6695614622598693</v>
      </c>
    </row>
    <row r="106" spans="1:6" x14ac:dyDescent="0.25">
      <c r="B106" s="1" t="s">
        <v>7</v>
      </c>
      <c r="C106" s="5">
        <v>0.12721018789657015</v>
      </c>
      <c r="D106" s="6">
        <v>-2.0737175545782067</v>
      </c>
      <c r="E106" s="6">
        <v>9.2915205914514711</v>
      </c>
      <c r="F106" s="7">
        <v>-6.6695614622598693</v>
      </c>
    </row>
    <row r="107" spans="1:6" x14ac:dyDescent="0.25">
      <c r="C107" s="5">
        <v>-0.13372100589727226</v>
      </c>
      <c r="D107" s="6">
        <v>1.3656550493671737</v>
      </c>
      <c r="E107" s="6">
        <v>-2.7899086444060113</v>
      </c>
      <c r="F107" s="7">
        <v>1.6147255688705231</v>
      </c>
    </row>
    <row r="108" spans="1:6" x14ac:dyDescent="0.25">
      <c r="C108" s="8">
        <v>-4.8579126255579523E-2</v>
      </c>
      <c r="D108" s="9">
        <v>0.80985988827637723</v>
      </c>
      <c r="E108" s="9">
        <v>-3.8249860114008079</v>
      </c>
      <c r="F108" s="10">
        <v>3.6137441441983187</v>
      </c>
    </row>
    <row r="109" spans="1:6" x14ac:dyDescent="0.25">
      <c r="B109" s="1" t="s">
        <v>8</v>
      </c>
      <c r="C109" cm="1">
        <f t="array" ref="C109:F109">-TRANSPOSE(MMULT(_xlfn.ANCHORARRAY(C105),TRANSPOSE(C99:F99)))</f>
        <v>-6.5294648299253105E-2</v>
      </c>
      <c r="D109">
        <v>6.5294648299253105E-2</v>
      </c>
      <c r="E109">
        <v>-1.1618607444398209E-2</v>
      </c>
      <c r="F109">
        <v>-5.4747737973425456E-2</v>
      </c>
    </row>
    <row r="110" spans="1:6" x14ac:dyDescent="0.25">
      <c r="A110">
        <v>10</v>
      </c>
      <c r="B110" s="1" t="s">
        <v>4</v>
      </c>
      <c r="C110">
        <f t="shared" ref="C110" si="109">C98+C109</f>
        <v>1.31703874656218</v>
      </c>
      <c r="D110">
        <f t="shared" ref="D110" si="110">D98+D109</f>
        <v>0.68296125343781933</v>
      </c>
      <c r="E110">
        <f t="shared" ref="E110" si="111">E98+E109</f>
        <v>0.11808773951598447</v>
      </c>
      <c r="F110">
        <f t="shared" ref="F110" si="112">F98+F109</f>
        <v>0.74429469353067557</v>
      </c>
    </row>
    <row r="111" spans="1:6" x14ac:dyDescent="0.25">
      <c r="B111" s="1" t="s">
        <v>5</v>
      </c>
      <c r="C111">
        <f t="shared" ref="C111:C174" si="113">C110+D110-2</f>
        <v>0</v>
      </c>
      <c r="D111">
        <f t="shared" ref="D111:D174" si="114">C110*E110+D110*F110-2/3</f>
        <v>-2.8161014093455172E-3</v>
      </c>
      <c r="E111">
        <f t="shared" ref="E111:E174" si="115">C110*E110*E110+D110*F110*F110-2/5</f>
        <v>-3.2910901395505898E-3</v>
      </c>
      <c r="F111">
        <f t="shared" ref="F111:F174" si="116">C110*E110*E110*E110+D110*F110*F110*F110-2/7</f>
        <v>-1.9466964083056371E-3</v>
      </c>
    </row>
    <row r="112" spans="1:6" x14ac:dyDescent="0.25">
      <c r="C112" s="2">
        <f>1</f>
        <v>1</v>
      </c>
      <c r="D112" s="3">
        <f>1</f>
        <v>1</v>
      </c>
      <c r="E112" s="3">
        <f>0</f>
        <v>0</v>
      </c>
      <c r="F112" s="4">
        <f>0</f>
        <v>0</v>
      </c>
    </row>
    <row r="113" spans="1:6" x14ac:dyDescent="0.25">
      <c r="B113" s="1" t="s">
        <v>6</v>
      </c>
      <c r="C113" s="5">
        <f t="shared" ref="C113:D113" si="117">E110</f>
        <v>0.11808773951598447</v>
      </c>
      <c r="D113" s="6">
        <f t="shared" si="117"/>
        <v>0.74429469353067557</v>
      </c>
      <c r="E113" s="6">
        <f t="shared" ref="E113:F113" si="118">C110</f>
        <v>1.31703874656218</v>
      </c>
      <c r="F113" s="7">
        <f t="shared" si="118"/>
        <v>0.68296125343781933</v>
      </c>
    </row>
    <row r="114" spans="1:6" x14ac:dyDescent="0.25">
      <c r="C114" s="5">
        <f t="shared" ref="C114:D114" si="119">E110*E110</f>
        <v>1.3944714223995002E-2</v>
      </c>
      <c r="D114" s="6">
        <f t="shared" si="119"/>
        <v>0.55397459081792222</v>
      </c>
      <c r="E114" s="6">
        <f t="shared" ref="E114:F114" si="120">2*C110*E110</f>
        <v>0.31105225687298682</v>
      </c>
      <c r="F114" s="7">
        <f t="shared" si="120"/>
        <v>1.0166488736416555</v>
      </c>
    </row>
    <row r="115" spans="1:6" x14ac:dyDescent="0.25">
      <c r="C115" s="8">
        <f t="shared" ref="C115:D115" si="121">E110*E110*E110</f>
        <v>1.6466997809079654E-3</v>
      </c>
      <c r="D115" s="9">
        <f t="shared" si="121"/>
        <v>0.4123203482966068</v>
      </c>
      <c r="E115" s="9">
        <f t="shared" ref="E115:F115" si="122">3*C110*E110*E110</f>
        <v>5.5097186828214538E-2</v>
      </c>
      <c r="F115" s="10">
        <f t="shared" si="122"/>
        <v>1.1350295427531338</v>
      </c>
    </row>
    <row r="117" spans="1:6" x14ac:dyDescent="0.25">
      <c r="C117" s="2" cm="1">
        <f t="array" ref="C117:F120">MINVERSE(C112:F115)</f>
        <v>0.87990511506069269</v>
      </c>
      <c r="D117" s="3">
        <v>2.1475699769690824</v>
      </c>
      <c r="E117" s="3">
        <v>-10.535799507071937</v>
      </c>
      <c r="F117" s="4">
        <v>8.1447233488207242</v>
      </c>
    </row>
    <row r="118" spans="1:6" x14ac:dyDescent="0.25">
      <c r="B118" s="1" t="s">
        <v>7</v>
      </c>
      <c r="C118" s="5">
        <v>0.12009488493930735</v>
      </c>
      <c r="D118" s="6">
        <v>-2.1475699769690824</v>
      </c>
      <c r="E118" s="6">
        <v>10.535799507071937</v>
      </c>
      <c r="F118" s="7">
        <v>-8.1447233488207242</v>
      </c>
    </row>
    <row r="119" spans="1:6" x14ac:dyDescent="0.25">
      <c r="C119" s="5">
        <v>-0.1266660800173966</v>
      </c>
      <c r="D119" s="6">
        <v>1.413009184786751</v>
      </c>
      <c r="E119" s="6">
        <v>-3.1109589948828815</v>
      </c>
      <c r="F119" s="7">
        <v>1.9362689263586386</v>
      </c>
    </row>
    <row r="120" spans="1:6" x14ac:dyDescent="0.25">
      <c r="C120" s="8">
        <v>-3.8754550445263145E-2</v>
      </c>
      <c r="D120" s="9">
        <v>0.70843756620648501</v>
      </c>
      <c r="E120" s="9">
        <v>-3.6610237690940348</v>
      </c>
      <c r="F120" s="10">
        <v>3.7339471118486509</v>
      </c>
    </row>
    <row r="121" spans="1:6" x14ac:dyDescent="0.25">
      <c r="B121" s="1" t="s">
        <v>8</v>
      </c>
      <c r="C121" cm="1">
        <f t="array" ref="C121:F121">-TRANSPOSE(MMULT(_xlfn.ANCHORARRAY(C117),TRANSPOSE(C111:F111)))</f>
        <v>-1.2771187341403301E-2</v>
      </c>
      <c r="D121">
        <v>1.2771187341403301E-2</v>
      </c>
      <c r="E121">
        <v>-2.4899415514529626E-3</v>
      </c>
      <c r="F121">
        <v>-2.7848657670593467E-3</v>
      </c>
    </row>
    <row r="122" spans="1:6" x14ac:dyDescent="0.25">
      <c r="A122">
        <v>11</v>
      </c>
      <c r="B122" s="1" t="s">
        <v>4</v>
      </c>
      <c r="C122">
        <f t="shared" ref="C122" si="123">C110+C121</f>
        <v>1.3042675592207766</v>
      </c>
      <c r="D122">
        <f t="shared" ref="D122" si="124">D110+D121</f>
        <v>0.69573244077922258</v>
      </c>
      <c r="E122">
        <f t="shared" ref="E122" si="125">E110+E121</f>
        <v>0.11559779796453151</v>
      </c>
      <c r="F122">
        <f t="shared" ref="F122" si="126">F110+F121</f>
        <v>0.74150982776361618</v>
      </c>
    </row>
    <row r="123" spans="1:6" x14ac:dyDescent="0.25">
      <c r="B123" s="1" t="s">
        <v>5</v>
      </c>
      <c r="C123">
        <f t="shared" ref="C123:C186" si="127">C122+D122-2</f>
        <v>0</v>
      </c>
      <c r="D123">
        <f t="shared" ref="D123:D186" si="128">C122*E122+D122*F122-2/3</f>
        <v>-3.7665324089664054E-6</v>
      </c>
      <c r="E123">
        <f t="shared" ref="E123:E186" si="129">C122*E122*E122+D122*F122*F122-2/5</f>
        <v>-3.1951021951248659E-5</v>
      </c>
      <c r="F123">
        <f t="shared" ref="F123:F186" si="130">C122*E122*E122*E122+D122*F122*F122*F122-2/7</f>
        <v>-4.2900204452078761E-5</v>
      </c>
    </row>
    <row r="124" spans="1:6" x14ac:dyDescent="0.25">
      <c r="C124" s="2">
        <f>1</f>
        <v>1</v>
      </c>
      <c r="D124" s="3">
        <f>1</f>
        <v>1</v>
      </c>
      <c r="E124" s="3">
        <f>0</f>
        <v>0</v>
      </c>
      <c r="F124" s="4">
        <f>0</f>
        <v>0</v>
      </c>
    </row>
    <row r="125" spans="1:6" x14ac:dyDescent="0.25">
      <c r="B125" s="1" t="s">
        <v>6</v>
      </c>
      <c r="C125" s="5">
        <f t="shared" ref="C125:D125" si="131">E122</f>
        <v>0.11559779796453151</v>
      </c>
      <c r="D125" s="6">
        <f t="shared" si="131"/>
        <v>0.74150982776361618</v>
      </c>
      <c r="E125" s="6">
        <f t="shared" ref="E125:F125" si="132">C122</f>
        <v>1.3042675592207766</v>
      </c>
      <c r="F125" s="7">
        <f t="shared" si="132"/>
        <v>0.69573244077922258</v>
      </c>
    </row>
    <row r="126" spans="1:6" x14ac:dyDescent="0.25">
      <c r="C126" s="5">
        <f t="shared" ref="C126:D126" si="133">E122*E122</f>
        <v>1.3362850894248646E-2</v>
      </c>
      <c r="D126" s="6">
        <f t="shared" si="133"/>
        <v>0.5498368246700277</v>
      </c>
      <c r="E126" s="6">
        <f t="shared" ref="E126:F126" si="134">2*C122*E122</f>
        <v>0.30154091560499197</v>
      </c>
      <c r="F126" s="7">
        <f t="shared" si="134"/>
        <v>1.0317848846635234</v>
      </c>
    </row>
    <row r="127" spans="1:6" x14ac:dyDescent="0.25">
      <c r="C127" s="8">
        <f t="shared" ref="C127:D127" si="135">E122*E122*E122</f>
        <v>1.5447161379035144E-3</v>
      </c>
      <c r="D127" s="9">
        <f t="shared" si="135"/>
        <v>0.40770940915916587</v>
      </c>
      <c r="E127" s="9">
        <f t="shared" ref="E127:F127" si="136">3*C122*E122*E122</f>
        <v>5.2286198760218561E-2</v>
      </c>
      <c r="F127" s="10">
        <f t="shared" si="136"/>
        <v>1.1476179481739277</v>
      </c>
    </row>
    <row r="129" spans="1:6" x14ac:dyDescent="0.25">
      <c r="C129" s="2" cm="1">
        <f t="array" ref="C129:F132">MINVERSE(C124:F127)</f>
        <v>0.88507308778828386</v>
      </c>
      <c r="D129" s="3">
        <v>2.0973834038467722</v>
      </c>
      <c r="E129" s="3">
        <v>-10.486165745457971</v>
      </c>
      <c r="F129" s="4">
        <v>8.1562419395110357</v>
      </c>
    </row>
    <row r="130" spans="1:6" x14ac:dyDescent="0.25">
      <c r="B130" s="1" t="s">
        <v>7</v>
      </c>
      <c r="C130" s="5">
        <v>0.11492691221171611</v>
      </c>
      <c r="D130" s="6">
        <v>-2.0973834038467722</v>
      </c>
      <c r="E130" s="6">
        <v>10.486165745457971</v>
      </c>
      <c r="F130" s="7">
        <v>-8.1562419395110357</v>
      </c>
    </row>
    <row r="131" spans="1:6" x14ac:dyDescent="0.25">
      <c r="C131" s="5">
        <v>-0.12439132519004374</v>
      </c>
      <c r="D131" s="6">
        <v>1.4115782543815856</v>
      </c>
      <c r="E131" s="6">
        <v>-3.1286087868431389</v>
      </c>
      <c r="F131" s="7">
        <v>1.9570715808272372</v>
      </c>
    </row>
    <row r="132" spans="1:6" x14ac:dyDescent="0.25">
      <c r="C132" s="8">
        <v>-3.6353579751612811E-2</v>
      </c>
      <c r="D132" s="9">
        <v>0.67799307812776965</v>
      </c>
      <c r="E132" s="9">
        <v>-3.5687200924479328</v>
      </c>
      <c r="F132" s="10">
        <v>3.6688600736901513</v>
      </c>
    </row>
    <row r="133" spans="1:6" x14ac:dyDescent="0.25">
      <c r="B133" s="1" t="s">
        <v>8</v>
      </c>
      <c r="C133" cm="1">
        <f t="array" ref="C133:F133">-TRANSPOSE(MMULT(_xlfn.ANCHORARRAY(C129),TRANSPOSE(C123:F123)))</f>
        <v>2.276059741270056E-5</v>
      </c>
      <c r="D133">
        <v>-2.276059741270056E-5</v>
      </c>
      <c r="E133">
        <v>-1.0686721837532644E-5</v>
      </c>
      <c r="F133">
        <v>4.5924276157533313E-5</v>
      </c>
    </row>
    <row r="134" spans="1:6" x14ac:dyDescent="0.25">
      <c r="A134">
        <v>12</v>
      </c>
      <c r="B134" s="1" t="s">
        <v>4</v>
      </c>
      <c r="C134">
        <f t="shared" ref="C134" si="137">C122+C133</f>
        <v>1.3042903198181894</v>
      </c>
      <c r="D134">
        <f t="shared" ref="D134" si="138">D122+D133</f>
        <v>0.6957096801818099</v>
      </c>
      <c r="E134">
        <f t="shared" ref="E134" si="139">E122+E133</f>
        <v>0.11558711124269398</v>
      </c>
      <c r="F134">
        <f t="shared" ref="F134" si="140">F122+F133</f>
        <v>0.74155575203977375</v>
      </c>
    </row>
    <row r="135" spans="1:6" x14ac:dyDescent="0.25">
      <c r="B135" s="1" t="s">
        <v>5</v>
      </c>
      <c r="C135">
        <f t="shared" ref="C135:C198" si="141">C134+D134-2</f>
        <v>0</v>
      </c>
      <c r="D135">
        <f t="shared" ref="D135:D198" si="142">C134*E134+D134*F134-2/3</f>
        <v>-1.28850019542881E-9</v>
      </c>
      <c r="E135">
        <f t="shared" ref="E135:E198" si="143">C134*E134*E134+D134*F134*F134-2/5</f>
        <v>9.8545616111778145E-12</v>
      </c>
      <c r="F135">
        <f t="shared" ref="F135:F198" si="144">C134*E134*E134*E134+D134*F134*F134*F134-2/7</f>
        <v>1.5818037990555922E-9</v>
      </c>
    </row>
    <row r="136" spans="1:6" x14ac:dyDescent="0.25">
      <c r="C136" s="2">
        <f>1</f>
        <v>1</v>
      </c>
      <c r="D136" s="3">
        <f>1</f>
        <v>1</v>
      </c>
      <c r="E136" s="3">
        <f>0</f>
        <v>0</v>
      </c>
      <c r="F136" s="4">
        <f>0</f>
        <v>0</v>
      </c>
    </row>
    <row r="137" spans="1:6" x14ac:dyDescent="0.25">
      <c r="B137" s="1" t="s">
        <v>6</v>
      </c>
      <c r="C137" s="5">
        <f t="shared" ref="C137:D137" si="145">E134</f>
        <v>0.11558711124269398</v>
      </c>
      <c r="D137" s="6">
        <f t="shared" si="145"/>
        <v>0.74155575203977375</v>
      </c>
      <c r="E137" s="6">
        <f t="shared" ref="E137:F137" si="146">C134</f>
        <v>1.3042903198181894</v>
      </c>
      <c r="F137" s="7">
        <f t="shared" si="146"/>
        <v>0.6957096801818099</v>
      </c>
    </row>
    <row r="138" spans="1:6" x14ac:dyDescent="0.25">
      <c r="C138" s="5">
        <f t="shared" ref="C138:D138" si="147">E134*E134</f>
        <v>1.3360380285430913E-2</v>
      </c>
      <c r="D138" s="6">
        <f t="shared" si="147"/>
        <v>0.5499049333832744</v>
      </c>
      <c r="E138" s="6">
        <f t="shared" ref="E138:F138" si="148">2*C134*E134</f>
        <v>0.30151830057918794</v>
      </c>
      <c r="F138" s="7">
        <f t="shared" si="148"/>
        <v>1.0318150301771449</v>
      </c>
    </row>
    <row r="139" spans="1:6" x14ac:dyDescent="0.25">
      <c r="C139" s="8">
        <f t="shared" ref="C139:D139" si="149">E134*E134*E134</f>
        <v>1.5442877622967985E-3</v>
      </c>
      <c r="D139" s="9">
        <f t="shared" si="149"/>
        <v>0.40778516642541573</v>
      </c>
      <c r="E139" s="9">
        <f t="shared" ref="E139:F139" si="150">3*C134*E134*E134</f>
        <v>5.2277444026131957E-2</v>
      </c>
      <c r="F139" s="10">
        <f t="shared" si="150"/>
        <v>1.1477225560034319</v>
      </c>
    </row>
    <row r="141" spans="1:6" x14ac:dyDescent="0.25">
      <c r="C141" s="2" cm="1">
        <f t="array" ref="C141:F144">MINVERSE(C136:F139)</f>
        <v>0.88511742204653665</v>
      </c>
      <c r="D141" s="3">
        <v>2.0967504152218552</v>
      </c>
      <c r="E141" s="3">
        <v>-10.483751969034541</v>
      </c>
      <c r="F141" s="4">
        <v>8.1540292508427612</v>
      </c>
    </row>
    <row r="142" spans="1:6" x14ac:dyDescent="0.25">
      <c r="B142" s="1" t="s">
        <v>7</v>
      </c>
      <c r="C142" s="5">
        <v>0.11488257795346339</v>
      </c>
      <c r="D142" s="6">
        <v>-2.0967504152218552</v>
      </c>
      <c r="E142" s="6">
        <v>10.483751969034541</v>
      </c>
      <c r="F142" s="7">
        <v>-8.1540292508427612</v>
      </c>
    </row>
    <row r="143" spans="1:6" x14ac:dyDescent="0.25">
      <c r="C143" s="5">
        <v>-0.12437056322639826</v>
      </c>
      <c r="D143" s="6">
        <v>1.4114213481285192</v>
      </c>
      <c r="E143" s="6">
        <v>-3.128147147635675</v>
      </c>
      <c r="F143" s="7">
        <v>1.9566834659484271</v>
      </c>
    </row>
    <row r="144" spans="1:6" x14ac:dyDescent="0.25">
      <c r="C144" s="8">
        <v>-3.6343724184422811E-2</v>
      </c>
      <c r="D144" s="9">
        <v>0.67786437272962619</v>
      </c>
      <c r="E144" s="9">
        <v>-3.5682814219767942</v>
      </c>
      <c r="F144" s="10">
        <v>3.6683165065604677</v>
      </c>
    </row>
    <row r="145" spans="1:6" x14ac:dyDescent="0.25">
      <c r="B145" s="1" t="s">
        <v>8</v>
      </c>
      <c r="C145" cm="1">
        <f t="array" ref="C145:F145">-TRANSPOSE(MMULT(_xlfn.ANCHORARRAY(C141),TRANSPOSE(C135:F135)))</f>
        <v>-1.0093098347119548E-8</v>
      </c>
      <c r="D145">
        <v>1.0093098347119548E-8</v>
      </c>
      <c r="E145">
        <v>-1.2456461382952882E-9</v>
      </c>
      <c r="F145">
        <v>-4.893964760360444E-9</v>
      </c>
    </row>
    <row r="146" spans="1:6" x14ac:dyDescent="0.25">
      <c r="A146">
        <v>13</v>
      </c>
      <c r="B146" s="1" t="s">
        <v>4</v>
      </c>
      <c r="C146">
        <f t="shared" ref="C146" si="151">C134+C145</f>
        <v>1.3042903097250911</v>
      </c>
      <c r="D146">
        <f t="shared" ref="D146" si="152">D134+D145</f>
        <v>0.69570969027490825</v>
      </c>
      <c r="E146">
        <f t="shared" ref="E146" si="153">E134+E145</f>
        <v>0.11558710999704784</v>
      </c>
      <c r="F146">
        <f t="shared" ref="F146" si="154">F134+F145</f>
        <v>0.74155574714580896</v>
      </c>
    </row>
    <row r="147" spans="1:6" x14ac:dyDescent="0.25">
      <c r="B147" s="1" t="s">
        <v>5</v>
      </c>
      <c r="C147">
        <f t="shared" ref="C147:C210" si="155">C146+D146-2</f>
        <v>0</v>
      </c>
      <c r="D147">
        <f t="shared" ref="D147:D210" si="156">C146*E146+D146*F146-2/3</f>
        <v>0</v>
      </c>
      <c r="E147">
        <f t="shared" ref="E147:E210" si="157">C146*E146*E146+D146*F146*F146-2/5</f>
        <v>0</v>
      </c>
      <c r="F147">
        <f t="shared" ref="F147:F210" si="158">C146*E146*E146*E146+D146*F146*F146*F146-2/7</f>
        <v>0</v>
      </c>
    </row>
    <row r="148" spans="1:6" x14ac:dyDescent="0.25">
      <c r="C148" s="2">
        <f>1</f>
        <v>1</v>
      </c>
      <c r="D148" s="3">
        <f>1</f>
        <v>1</v>
      </c>
      <c r="E148" s="3">
        <f>0</f>
        <v>0</v>
      </c>
      <c r="F148" s="4">
        <f>0</f>
        <v>0</v>
      </c>
    </row>
    <row r="149" spans="1:6" x14ac:dyDescent="0.25">
      <c r="B149" s="1" t="s">
        <v>6</v>
      </c>
      <c r="C149" s="5">
        <f t="shared" ref="C149:D149" si="159">E146</f>
        <v>0.11558710999704784</v>
      </c>
      <c r="D149" s="6">
        <f t="shared" si="159"/>
        <v>0.74155574714580896</v>
      </c>
      <c r="E149" s="6">
        <f t="shared" ref="E149:F149" si="160">C146</f>
        <v>1.3042903097250911</v>
      </c>
      <c r="F149" s="7">
        <f t="shared" si="160"/>
        <v>0.69570969027490825</v>
      </c>
    </row>
    <row r="150" spans="1:6" x14ac:dyDescent="0.25">
      <c r="C150" s="5">
        <f t="shared" ref="C150:D150" si="161">E146*E146</f>
        <v>1.3360379997469637E-2</v>
      </c>
      <c r="D150" s="6">
        <f t="shared" si="161"/>
        <v>0.54990492612497899</v>
      </c>
      <c r="E150" s="6">
        <f t="shared" ref="E150:F150" si="162">2*C146*E146</f>
        <v>0.30151829499655541</v>
      </c>
      <c r="F150" s="7">
        <f t="shared" si="162"/>
        <v>1.0318150383367779</v>
      </c>
    </row>
    <row r="151" spans="1:6" x14ac:dyDescent="0.25">
      <c r="C151" s="8">
        <f t="shared" ref="C151:D151" si="163">E146*E146*E146</f>
        <v>1.5442877123698806E-3</v>
      </c>
      <c r="D151" s="9">
        <f t="shared" si="163"/>
        <v>0.40778515835176965</v>
      </c>
      <c r="E151" s="9">
        <f t="shared" ref="E151:F151" si="164">3*C146*E146*E146</f>
        <v>5.2277442494833758E-2</v>
      </c>
      <c r="F151" s="10">
        <f t="shared" si="164"/>
        <v>1.1477225575051662</v>
      </c>
    </row>
    <row r="153" spans="1:6" x14ac:dyDescent="0.25">
      <c r="C153" s="2" cm="1">
        <f t="array" ref="C153:F156">MINVERSE(C148:F151)</f>
        <v>0.88511742324582021</v>
      </c>
      <c r="D153" s="3">
        <v>2.0967504154494629</v>
      </c>
      <c r="E153" s="3">
        <v>-10.483752077247326</v>
      </c>
      <c r="F153" s="4">
        <v>8.1540293934145929</v>
      </c>
    </row>
    <row r="154" spans="1:6" x14ac:dyDescent="0.25">
      <c r="B154" s="1" t="s">
        <v>7</v>
      </c>
      <c r="C154" s="5">
        <v>0.1148825767541798</v>
      </c>
      <c r="D154" s="6">
        <v>-2.0967504154494629</v>
      </c>
      <c r="E154" s="6">
        <v>10.483752077247326</v>
      </c>
      <c r="F154" s="7">
        <v>-8.1540293934145929</v>
      </c>
    </row>
    <row r="155" spans="1:6" x14ac:dyDescent="0.25">
      <c r="C155" s="5">
        <v>-0.1243705626566651</v>
      </c>
      <c r="D155" s="6">
        <v>1.4114213554722104</v>
      </c>
      <c r="E155" s="6">
        <v>-3.1281471867166788</v>
      </c>
      <c r="F155" s="7">
        <v>1.9566835038981822</v>
      </c>
    </row>
    <row r="156" spans="1:6" x14ac:dyDescent="0.25">
      <c r="C156" s="8">
        <v>-3.6343723057620445E-2</v>
      </c>
      <c r="D156" s="9">
        <v>0.67786435881350382</v>
      </c>
      <c r="E156" s="9">
        <v>-3.5682813847118955</v>
      </c>
      <c r="F156" s="10">
        <v>3.6683164961018226</v>
      </c>
    </row>
    <row r="157" spans="1:6" x14ac:dyDescent="0.25">
      <c r="B157" s="1" t="s">
        <v>8</v>
      </c>
      <c r="C157" cm="1">
        <f t="array" ref="C157:F157">-TRANSPOSE(MMULT(_xlfn.ANCHORARRAY(C153),TRANSPOSE(C147:F147)))</f>
        <v>0</v>
      </c>
      <c r="D157">
        <v>0</v>
      </c>
      <c r="E157">
        <v>0</v>
      </c>
      <c r="F157">
        <v>0</v>
      </c>
    </row>
    <row r="158" spans="1:6" x14ac:dyDescent="0.25">
      <c r="A158">
        <v>14</v>
      </c>
      <c r="B158" s="1" t="s">
        <v>4</v>
      </c>
      <c r="C158">
        <f t="shared" ref="C158" si="165">C146+C157</f>
        <v>1.3042903097250911</v>
      </c>
      <c r="D158">
        <f t="shared" ref="D158" si="166">D146+D157</f>
        <v>0.69570969027490825</v>
      </c>
      <c r="E158">
        <f t="shared" ref="E158" si="167">E146+E157</f>
        <v>0.11558710999704784</v>
      </c>
      <c r="F158">
        <f t="shared" ref="F158" si="168">F146+F157</f>
        <v>0.74155574714580896</v>
      </c>
    </row>
    <row r="159" spans="1:6" x14ac:dyDescent="0.25">
      <c r="B159" s="1" t="s">
        <v>5</v>
      </c>
      <c r="C159">
        <f t="shared" ref="C159:C222" si="169">C158+D158-2</f>
        <v>0</v>
      </c>
      <c r="D159">
        <f t="shared" ref="D159:D222" si="170">C158*E158+D158*F158-2/3</f>
        <v>0</v>
      </c>
      <c r="E159">
        <f t="shared" ref="E159:E222" si="171">C158*E158*E158+D158*F158*F158-2/5</f>
        <v>0</v>
      </c>
      <c r="F159">
        <f t="shared" ref="F159:F222" si="172">C158*E158*E158*E158+D158*F158*F158*F158-2/7</f>
        <v>0</v>
      </c>
    </row>
    <row r="160" spans="1:6" x14ac:dyDescent="0.25">
      <c r="C160" s="2">
        <f>1</f>
        <v>1</v>
      </c>
      <c r="D160" s="3">
        <f>1</f>
        <v>1</v>
      </c>
      <c r="E160" s="3">
        <f>0</f>
        <v>0</v>
      </c>
      <c r="F160" s="4">
        <f>0</f>
        <v>0</v>
      </c>
    </row>
    <row r="161" spans="1:6" x14ac:dyDescent="0.25">
      <c r="B161" s="1" t="s">
        <v>6</v>
      </c>
      <c r="C161" s="5">
        <f t="shared" ref="C161:D161" si="173">E158</f>
        <v>0.11558710999704784</v>
      </c>
      <c r="D161" s="6">
        <f t="shared" si="173"/>
        <v>0.74155574714580896</v>
      </c>
      <c r="E161" s="6">
        <f t="shared" ref="E161:F161" si="174">C158</f>
        <v>1.3042903097250911</v>
      </c>
      <c r="F161" s="7">
        <f t="shared" si="174"/>
        <v>0.69570969027490825</v>
      </c>
    </row>
    <row r="162" spans="1:6" x14ac:dyDescent="0.25">
      <c r="C162" s="5">
        <f t="shared" ref="C162:D162" si="175">E158*E158</f>
        <v>1.3360379997469637E-2</v>
      </c>
      <c r="D162" s="6">
        <f t="shared" si="175"/>
        <v>0.54990492612497899</v>
      </c>
      <c r="E162" s="6">
        <f t="shared" ref="E162:F162" si="176">2*C158*E158</f>
        <v>0.30151829499655541</v>
      </c>
      <c r="F162" s="7">
        <f t="shared" si="176"/>
        <v>1.0318150383367779</v>
      </c>
    </row>
    <row r="163" spans="1:6" x14ac:dyDescent="0.25">
      <c r="C163" s="8">
        <f t="shared" ref="C163:D163" si="177">E158*E158*E158</f>
        <v>1.5442877123698806E-3</v>
      </c>
      <c r="D163" s="9">
        <f t="shared" si="177"/>
        <v>0.40778515835176965</v>
      </c>
      <c r="E163" s="9">
        <f t="shared" ref="E163:F163" si="178">3*C158*E158*E158</f>
        <v>5.2277442494833758E-2</v>
      </c>
      <c r="F163" s="10">
        <f t="shared" si="178"/>
        <v>1.1477225575051662</v>
      </c>
    </row>
    <row r="165" spans="1:6" x14ac:dyDescent="0.25">
      <c r="C165" s="2" cm="1">
        <f t="array" ref="C165:F168">MINVERSE(C160:F163)</f>
        <v>0.88511742324582021</v>
      </c>
      <c r="D165" s="3">
        <v>2.0967504154494629</v>
      </c>
      <c r="E165" s="3">
        <v>-10.483752077247326</v>
      </c>
      <c r="F165" s="4">
        <v>8.1540293934145929</v>
      </c>
    </row>
    <row r="166" spans="1:6" x14ac:dyDescent="0.25">
      <c r="B166" s="1" t="s">
        <v>7</v>
      </c>
      <c r="C166" s="5">
        <v>0.1148825767541798</v>
      </c>
      <c r="D166" s="6">
        <v>-2.0967504154494629</v>
      </c>
      <c r="E166" s="6">
        <v>10.483752077247326</v>
      </c>
      <c r="F166" s="7">
        <v>-8.1540293934145929</v>
      </c>
    </row>
    <row r="167" spans="1:6" x14ac:dyDescent="0.25">
      <c r="C167" s="5">
        <v>-0.1243705626566651</v>
      </c>
      <c r="D167" s="6">
        <v>1.4114213554722104</v>
      </c>
      <c r="E167" s="6">
        <v>-3.1281471867166788</v>
      </c>
      <c r="F167" s="7">
        <v>1.9566835038981822</v>
      </c>
    </row>
    <row r="168" spans="1:6" x14ac:dyDescent="0.25">
      <c r="C168" s="8">
        <v>-3.6343723057620445E-2</v>
      </c>
      <c r="D168" s="9">
        <v>0.67786435881350382</v>
      </c>
      <c r="E168" s="9">
        <v>-3.5682813847118955</v>
      </c>
      <c r="F168" s="10">
        <v>3.6683164961018226</v>
      </c>
    </row>
    <row r="169" spans="1:6" x14ac:dyDescent="0.25">
      <c r="B169" s="1" t="s">
        <v>8</v>
      </c>
      <c r="C169" cm="1">
        <f t="array" ref="C169:F169">-TRANSPOSE(MMULT(_xlfn.ANCHORARRAY(C165),TRANSPOSE(C159:F159)))</f>
        <v>0</v>
      </c>
      <c r="D169">
        <v>0</v>
      </c>
      <c r="E169">
        <v>0</v>
      </c>
      <c r="F169">
        <v>0</v>
      </c>
    </row>
    <row r="170" spans="1:6" x14ac:dyDescent="0.25">
      <c r="A170">
        <v>15</v>
      </c>
      <c r="B170" s="1" t="s">
        <v>4</v>
      </c>
      <c r="C170">
        <f t="shared" ref="C170" si="179">C158+C169</f>
        <v>1.3042903097250911</v>
      </c>
      <c r="D170">
        <f t="shared" ref="D170" si="180">D158+D169</f>
        <v>0.69570969027490825</v>
      </c>
      <c r="E170">
        <f t="shared" ref="E170" si="181">E158+E169</f>
        <v>0.11558710999704784</v>
      </c>
      <c r="F170">
        <f t="shared" ref="F170" si="182">F158+F169</f>
        <v>0.74155574714580896</v>
      </c>
    </row>
    <row r="171" spans="1:6" x14ac:dyDescent="0.25">
      <c r="B171" s="1" t="s">
        <v>5</v>
      </c>
      <c r="C171">
        <f t="shared" ref="C171:C234" si="183">C170+D170-2</f>
        <v>0</v>
      </c>
      <c r="D171">
        <f t="shared" ref="D171:D234" si="184">C170*E170+D170*F170-2/3</f>
        <v>0</v>
      </c>
      <c r="E171">
        <f t="shared" ref="E171:E234" si="185">C170*E170*E170+D170*F170*F170-2/5</f>
        <v>0</v>
      </c>
      <c r="F171">
        <f t="shared" ref="F171:F234" si="186">C170*E170*E170*E170+D170*F170*F170*F170-2/7</f>
        <v>0</v>
      </c>
    </row>
    <row r="172" spans="1:6" x14ac:dyDescent="0.25">
      <c r="C172" s="2">
        <f>1</f>
        <v>1</v>
      </c>
      <c r="D172" s="3">
        <f>1</f>
        <v>1</v>
      </c>
      <c r="E172" s="3">
        <f>0</f>
        <v>0</v>
      </c>
      <c r="F172" s="4">
        <f>0</f>
        <v>0</v>
      </c>
    </row>
    <row r="173" spans="1:6" x14ac:dyDescent="0.25">
      <c r="B173" s="1" t="s">
        <v>6</v>
      </c>
      <c r="C173" s="5">
        <f t="shared" ref="C173:D173" si="187">E170</f>
        <v>0.11558710999704784</v>
      </c>
      <c r="D173" s="6">
        <f t="shared" si="187"/>
        <v>0.74155574714580896</v>
      </c>
      <c r="E173" s="6">
        <f t="shared" ref="E173:F173" si="188">C170</f>
        <v>1.3042903097250911</v>
      </c>
      <c r="F173" s="7">
        <f t="shared" si="188"/>
        <v>0.69570969027490825</v>
      </c>
    </row>
    <row r="174" spans="1:6" x14ac:dyDescent="0.25">
      <c r="C174" s="5">
        <f t="shared" ref="C174:D174" si="189">E170*E170</f>
        <v>1.3360379997469637E-2</v>
      </c>
      <c r="D174" s="6">
        <f t="shared" si="189"/>
        <v>0.54990492612497899</v>
      </c>
      <c r="E174" s="6">
        <f t="shared" ref="E174:F174" si="190">2*C170*E170</f>
        <v>0.30151829499655541</v>
      </c>
      <c r="F174" s="7">
        <f t="shared" si="190"/>
        <v>1.0318150383367779</v>
      </c>
    </row>
    <row r="175" spans="1:6" x14ac:dyDescent="0.25">
      <c r="C175" s="8">
        <f t="shared" ref="C175:D175" si="191">E170*E170*E170</f>
        <v>1.5442877123698806E-3</v>
      </c>
      <c r="D175" s="9">
        <f t="shared" si="191"/>
        <v>0.40778515835176965</v>
      </c>
      <c r="E175" s="9">
        <f t="shared" ref="E175:F175" si="192">3*C170*E170*E170</f>
        <v>5.2277442494833758E-2</v>
      </c>
      <c r="F175" s="10">
        <f t="shared" si="192"/>
        <v>1.1477225575051662</v>
      </c>
    </row>
    <row r="177" spans="1:6" x14ac:dyDescent="0.25">
      <c r="C177" s="2" cm="1">
        <f t="array" ref="C177:F180">MINVERSE(C172:F175)</f>
        <v>0.88511742324582021</v>
      </c>
      <c r="D177" s="3">
        <v>2.0967504154494629</v>
      </c>
      <c r="E177" s="3">
        <v>-10.483752077247326</v>
      </c>
      <c r="F177" s="4">
        <v>8.1540293934145929</v>
      </c>
    </row>
    <row r="178" spans="1:6" x14ac:dyDescent="0.25">
      <c r="B178" s="1" t="s">
        <v>7</v>
      </c>
      <c r="C178" s="5">
        <v>0.1148825767541798</v>
      </c>
      <c r="D178" s="6">
        <v>-2.0967504154494629</v>
      </c>
      <c r="E178" s="6">
        <v>10.483752077247326</v>
      </c>
      <c r="F178" s="7">
        <v>-8.1540293934145929</v>
      </c>
    </row>
    <row r="179" spans="1:6" x14ac:dyDescent="0.25">
      <c r="C179" s="5">
        <v>-0.1243705626566651</v>
      </c>
      <c r="D179" s="6">
        <v>1.4114213554722104</v>
      </c>
      <c r="E179" s="6">
        <v>-3.1281471867166788</v>
      </c>
      <c r="F179" s="7">
        <v>1.9566835038981822</v>
      </c>
    </row>
    <row r="180" spans="1:6" x14ac:dyDescent="0.25">
      <c r="C180" s="8">
        <v>-3.6343723057620445E-2</v>
      </c>
      <c r="D180" s="9">
        <v>0.67786435881350382</v>
      </c>
      <c r="E180" s="9">
        <v>-3.5682813847118955</v>
      </c>
      <c r="F180" s="10">
        <v>3.6683164961018226</v>
      </c>
    </row>
    <row r="181" spans="1:6" x14ac:dyDescent="0.25">
      <c r="B181" s="1" t="s">
        <v>8</v>
      </c>
      <c r="C181" cm="1">
        <f t="array" ref="C181:F181">-TRANSPOSE(MMULT(_xlfn.ANCHORARRAY(C177),TRANSPOSE(C171:F171)))</f>
        <v>0</v>
      </c>
      <c r="D181">
        <v>0</v>
      </c>
      <c r="E181">
        <v>0</v>
      </c>
      <c r="F181">
        <v>0</v>
      </c>
    </row>
    <row r="182" spans="1:6" x14ac:dyDescent="0.25">
      <c r="A182">
        <v>16</v>
      </c>
      <c r="B182" s="1" t="s">
        <v>4</v>
      </c>
      <c r="C182">
        <f t="shared" ref="C182" si="193">C170+C181</f>
        <v>1.3042903097250911</v>
      </c>
      <c r="D182">
        <f t="shared" ref="D182" si="194">D170+D181</f>
        <v>0.69570969027490825</v>
      </c>
      <c r="E182">
        <f t="shared" ref="E182" si="195">E170+E181</f>
        <v>0.11558710999704784</v>
      </c>
      <c r="F182">
        <f t="shared" ref="F182" si="196">F170+F181</f>
        <v>0.74155574714580896</v>
      </c>
    </row>
    <row r="183" spans="1:6" x14ac:dyDescent="0.25">
      <c r="B183" s="1" t="s">
        <v>5</v>
      </c>
      <c r="C183">
        <f t="shared" ref="C183:C246" si="197">C182+D182-2</f>
        <v>0</v>
      </c>
      <c r="D183">
        <f t="shared" ref="D183:D246" si="198">C182*E182+D182*F182-2/3</f>
        <v>0</v>
      </c>
      <c r="E183">
        <f t="shared" ref="E183:E246" si="199">C182*E182*E182+D182*F182*F182-2/5</f>
        <v>0</v>
      </c>
      <c r="F183">
        <f t="shared" ref="F183:F246" si="200">C182*E182*E182*E182+D182*F182*F182*F182-2/7</f>
        <v>0</v>
      </c>
    </row>
    <row r="184" spans="1:6" x14ac:dyDescent="0.25">
      <c r="C184" s="2">
        <f>1</f>
        <v>1</v>
      </c>
      <c r="D184" s="3">
        <f>1</f>
        <v>1</v>
      </c>
      <c r="E184" s="3">
        <f>0</f>
        <v>0</v>
      </c>
      <c r="F184" s="4">
        <f>0</f>
        <v>0</v>
      </c>
    </row>
    <row r="185" spans="1:6" x14ac:dyDescent="0.25">
      <c r="B185" s="1" t="s">
        <v>6</v>
      </c>
      <c r="C185" s="5">
        <f t="shared" ref="C185:D185" si="201">E182</f>
        <v>0.11558710999704784</v>
      </c>
      <c r="D185" s="6">
        <f t="shared" si="201"/>
        <v>0.74155574714580896</v>
      </c>
      <c r="E185" s="6">
        <f t="shared" ref="E185:F185" si="202">C182</f>
        <v>1.3042903097250911</v>
      </c>
      <c r="F185" s="7">
        <f t="shared" si="202"/>
        <v>0.69570969027490825</v>
      </c>
    </row>
    <row r="186" spans="1:6" x14ac:dyDescent="0.25">
      <c r="C186" s="5">
        <f t="shared" ref="C186:D186" si="203">E182*E182</f>
        <v>1.3360379997469637E-2</v>
      </c>
      <c r="D186" s="6">
        <f t="shared" si="203"/>
        <v>0.54990492612497899</v>
      </c>
      <c r="E186" s="6">
        <f t="shared" ref="E186:F186" si="204">2*C182*E182</f>
        <v>0.30151829499655541</v>
      </c>
      <c r="F186" s="7">
        <f t="shared" si="204"/>
        <v>1.0318150383367779</v>
      </c>
    </row>
    <row r="187" spans="1:6" x14ac:dyDescent="0.25">
      <c r="C187" s="8">
        <f t="shared" ref="C187:D187" si="205">E182*E182*E182</f>
        <v>1.5442877123698806E-3</v>
      </c>
      <c r="D187" s="9">
        <f t="shared" si="205"/>
        <v>0.40778515835176965</v>
      </c>
      <c r="E187" s="9">
        <f t="shared" ref="E187:F187" si="206">3*C182*E182*E182</f>
        <v>5.2277442494833758E-2</v>
      </c>
      <c r="F187" s="10">
        <f t="shared" si="206"/>
        <v>1.1477225575051662</v>
      </c>
    </row>
    <row r="189" spans="1:6" x14ac:dyDescent="0.25">
      <c r="C189" s="2" cm="1">
        <f t="array" ref="C189:F192">MINVERSE(C184:F187)</f>
        <v>0.88511742324582021</v>
      </c>
      <c r="D189" s="3">
        <v>2.0967504154494629</v>
      </c>
      <c r="E189" s="3">
        <v>-10.483752077247326</v>
      </c>
      <c r="F189" s="4">
        <v>8.1540293934145929</v>
      </c>
    </row>
    <row r="190" spans="1:6" x14ac:dyDescent="0.25">
      <c r="B190" s="1" t="s">
        <v>7</v>
      </c>
      <c r="C190" s="5">
        <v>0.1148825767541798</v>
      </c>
      <c r="D190" s="6">
        <v>-2.0967504154494629</v>
      </c>
      <c r="E190" s="6">
        <v>10.483752077247326</v>
      </c>
      <c r="F190" s="7">
        <v>-8.1540293934145929</v>
      </c>
    </row>
    <row r="191" spans="1:6" x14ac:dyDescent="0.25">
      <c r="C191" s="5">
        <v>-0.1243705626566651</v>
      </c>
      <c r="D191" s="6">
        <v>1.4114213554722104</v>
      </c>
      <c r="E191" s="6">
        <v>-3.1281471867166788</v>
      </c>
      <c r="F191" s="7">
        <v>1.9566835038981822</v>
      </c>
    </row>
    <row r="192" spans="1:6" x14ac:dyDescent="0.25">
      <c r="C192" s="8">
        <v>-3.6343723057620445E-2</v>
      </c>
      <c r="D192" s="9">
        <v>0.67786435881350382</v>
      </c>
      <c r="E192" s="9">
        <v>-3.5682813847118955</v>
      </c>
      <c r="F192" s="10">
        <v>3.6683164961018226</v>
      </c>
    </row>
    <row r="193" spans="1:6" x14ac:dyDescent="0.25">
      <c r="B193" s="1" t="s">
        <v>8</v>
      </c>
      <c r="C193" cm="1">
        <f t="array" ref="C193:F193">-TRANSPOSE(MMULT(_xlfn.ANCHORARRAY(C189),TRANSPOSE(C183:F183)))</f>
        <v>0</v>
      </c>
      <c r="D193">
        <v>0</v>
      </c>
      <c r="E193">
        <v>0</v>
      </c>
      <c r="F193">
        <v>0</v>
      </c>
    </row>
    <row r="194" spans="1:6" x14ac:dyDescent="0.25">
      <c r="A194">
        <v>17</v>
      </c>
      <c r="B194" s="1" t="s">
        <v>4</v>
      </c>
      <c r="C194">
        <f t="shared" ref="C194" si="207">C182+C193</f>
        <v>1.3042903097250911</v>
      </c>
      <c r="D194">
        <f t="shared" ref="D194" si="208">D182+D193</f>
        <v>0.69570969027490825</v>
      </c>
      <c r="E194">
        <f t="shared" ref="E194" si="209">E182+E193</f>
        <v>0.11558710999704784</v>
      </c>
      <c r="F194">
        <f t="shared" ref="F194" si="210">F182+F193</f>
        <v>0.74155574714580896</v>
      </c>
    </row>
    <row r="195" spans="1:6" x14ac:dyDescent="0.25">
      <c r="B195" s="1" t="s">
        <v>5</v>
      </c>
      <c r="C195">
        <f t="shared" ref="C195:C258" si="211">C194+D194-2</f>
        <v>0</v>
      </c>
      <c r="D195">
        <f t="shared" ref="D195:D258" si="212">C194*E194+D194*F194-2/3</f>
        <v>0</v>
      </c>
      <c r="E195">
        <f t="shared" ref="E195:E258" si="213">C194*E194*E194+D194*F194*F194-2/5</f>
        <v>0</v>
      </c>
      <c r="F195">
        <f t="shared" ref="F195:F258" si="214">C194*E194*E194*E194+D194*F194*F194*F194-2/7</f>
        <v>0</v>
      </c>
    </row>
    <row r="196" spans="1:6" x14ac:dyDescent="0.25">
      <c r="C196" s="2">
        <f>1</f>
        <v>1</v>
      </c>
      <c r="D196" s="3">
        <f>1</f>
        <v>1</v>
      </c>
      <c r="E196" s="3">
        <f>0</f>
        <v>0</v>
      </c>
      <c r="F196" s="4">
        <f>0</f>
        <v>0</v>
      </c>
    </row>
    <row r="197" spans="1:6" x14ac:dyDescent="0.25">
      <c r="B197" s="1" t="s">
        <v>6</v>
      </c>
      <c r="C197" s="5">
        <f t="shared" ref="C197:D197" si="215">E194</f>
        <v>0.11558710999704784</v>
      </c>
      <c r="D197" s="6">
        <f t="shared" si="215"/>
        <v>0.74155574714580896</v>
      </c>
      <c r="E197" s="6">
        <f t="shared" ref="E197:F197" si="216">C194</f>
        <v>1.3042903097250911</v>
      </c>
      <c r="F197" s="7">
        <f t="shared" si="216"/>
        <v>0.69570969027490825</v>
      </c>
    </row>
    <row r="198" spans="1:6" x14ac:dyDescent="0.25">
      <c r="C198" s="5">
        <f t="shared" ref="C198:D198" si="217">E194*E194</f>
        <v>1.3360379997469637E-2</v>
      </c>
      <c r="D198" s="6">
        <f t="shared" si="217"/>
        <v>0.54990492612497899</v>
      </c>
      <c r="E198" s="6">
        <f t="shared" ref="E198:F198" si="218">2*C194*E194</f>
        <v>0.30151829499655541</v>
      </c>
      <c r="F198" s="7">
        <f t="shared" si="218"/>
        <v>1.0318150383367779</v>
      </c>
    </row>
    <row r="199" spans="1:6" x14ac:dyDescent="0.25">
      <c r="C199" s="8">
        <f t="shared" ref="C199:D199" si="219">E194*E194*E194</f>
        <v>1.5442877123698806E-3</v>
      </c>
      <c r="D199" s="9">
        <f t="shared" si="219"/>
        <v>0.40778515835176965</v>
      </c>
      <c r="E199" s="9">
        <f t="shared" ref="E199:F199" si="220">3*C194*E194*E194</f>
        <v>5.2277442494833758E-2</v>
      </c>
      <c r="F199" s="10">
        <f t="shared" si="220"/>
        <v>1.1477225575051662</v>
      </c>
    </row>
    <row r="201" spans="1:6" x14ac:dyDescent="0.25">
      <c r="C201" s="2" cm="1">
        <f t="array" ref="C201:F204">MINVERSE(C196:F199)</f>
        <v>0.88511742324582021</v>
      </c>
      <c r="D201" s="3">
        <v>2.0967504154494629</v>
      </c>
      <c r="E201" s="3">
        <v>-10.483752077247326</v>
      </c>
      <c r="F201" s="4">
        <v>8.1540293934145929</v>
      </c>
    </row>
    <row r="202" spans="1:6" x14ac:dyDescent="0.25">
      <c r="B202" s="1" t="s">
        <v>7</v>
      </c>
      <c r="C202" s="5">
        <v>0.1148825767541798</v>
      </c>
      <c r="D202" s="6">
        <v>-2.0967504154494629</v>
      </c>
      <c r="E202" s="6">
        <v>10.483752077247326</v>
      </c>
      <c r="F202" s="7">
        <v>-8.1540293934145929</v>
      </c>
    </row>
    <row r="203" spans="1:6" x14ac:dyDescent="0.25">
      <c r="C203" s="5">
        <v>-0.1243705626566651</v>
      </c>
      <c r="D203" s="6">
        <v>1.4114213554722104</v>
      </c>
      <c r="E203" s="6">
        <v>-3.1281471867166788</v>
      </c>
      <c r="F203" s="7">
        <v>1.9566835038981822</v>
      </c>
    </row>
    <row r="204" spans="1:6" x14ac:dyDescent="0.25">
      <c r="C204" s="8">
        <v>-3.6343723057620445E-2</v>
      </c>
      <c r="D204" s="9">
        <v>0.67786435881350382</v>
      </c>
      <c r="E204" s="9">
        <v>-3.5682813847118955</v>
      </c>
      <c r="F204" s="10">
        <v>3.6683164961018226</v>
      </c>
    </row>
    <row r="205" spans="1:6" x14ac:dyDescent="0.25">
      <c r="B205" s="1" t="s">
        <v>8</v>
      </c>
      <c r="C205" cm="1">
        <f t="array" ref="C205:F205">-TRANSPOSE(MMULT(_xlfn.ANCHORARRAY(C201),TRANSPOSE(C195:F195)))</f>
        <v>0</v>
      </c>
      <c r="D205">
        <v>0</v>
      </c>
      <c r="E205">
        <v>0</v>
      </c>
      <c r="F205">
        <v>0</v>
      </c>
    </row>
    <row r="206" spans="1:6" x14ac:dyDescent="0.25">
      <c r="A206">
        <v>18</v>
      </c>
      <c r="B206" s="1" t="s">
        <v>4</v>
      </c>
      <c r="C206">
        <f t="shared" ref="C206" si="221">C194+C205</f>
        <v>1.3042903097250911</v>
      </c>
      <c r="D206">
        <f t="shared" ref="D206" si="222">D194+D205</f>
        <v>0.69570969027490825</v>
      </c>
      <c r="E206">
        <f t="shared" ref="E206" si="223">E194+E205</f>
        <v>0.11558710999704784</v>
      </c>
      <c r="F206">
        <f t="shared" ref="F206" si="224">F194+F205</f>
        <v>0.74155574714580896</v>
      </c>
    </row>
    <row r="207" spans="1:6" x14ac:dyDescent="0.25">
      <c r="B207" s="1" t="s">
        <v>5</v>
      </c>
      <c r="C207">
        <f t="shared" ref="C207:C270" si="225">C206+D206-2</f>
        <v>0</v>
      </c>
      <c r="D207">
        <f t="shared" ref="D207:D270" si="226">C206*E206+D206*F206-2/3</f>
        <v>0</v>
      </c>
      <c r="E207">
        <f t="shared" ref="E207:E270" si="227">C206*E206*E206+D206*F206*F206-2/5</f>
        <v>0</v>
      </c>
      <c r="F207">
        <f t="shared" ref="F207:F270" si="228">C206*E206*E206*E206+D206*F206*F206*F206-2/7</f>
        <v>0</v>
      </c>
    </row>
    <row r="208" spans="1:6" x14ac:dyDescent="0.25">
      <c r="C208" s="2">
        <f>1</f>
        <v>1</v>
      </c>
      <c r="D208" s="3">
        <f>1</f>
        <v>1</v>
      </c>
      <c r="E208" s="3">
        <f>0</f>
        <v>0</v>
      </c>
      <c r="F208" s="4">
        <f>0</f>
        <v>0</v>
      </c>
    </row>
    <row r="209" spans="1:6" x14ac:dyDescent="0.25">
      <c r="B209" s="1" t="s">
        <v>6</v>
      </c>
      <c r="C209" s="5">
        <f t="shared" ref="C209:D209" si="229">E206</f>
        <v>0.11558710999704784</v>
      </c>
      <c r="D209" s="6">
        <f t="shared" si="229"/>
        <v>0.74155574714580896</v>
      </c>
      <c r="E209" s="6">
        <f t="shared" ref="E209:F209" si="230">C206</f>
        <v>1.3042903097250911</v>
      </c>
      <c r="F209" s="7">
        <f t="shared" si="230"/>
        <v>0.69570969027490825</v>
      </c>
    </row>
    <row r="210" spans="1:6" x14ac:dyDescent="0.25">
      <c r="C210" s="5">
        <f t="shared" ref="C210:D210" si="231">E206*E206</f>
        <v>1.3360379997469637E-2</v>
      </c>
      <c r="D210" s="6">
        <f t="shared" si="231"/>
        <v>0.54990492612497899</v>
      </c>
      <c r="E210" s="6">
        <f t="shared" ref="E210:F210" si="232">2*C206*E206</f>
        <v>0.30151829499655541</v>
      </c>
      <c r="F210" s="7">
        <f t="shared" si="232"/>
        <v>1.0318150383367779</v>
      </c>
    </row>
    <row r="211" spans="1:6" x14ac:dyDescent="0.25">
      <c r="C211" s="8">
        <f t="shared" ref="C211:D211" si="233">E206*E206*E206</f>
        <v>1.5442877123698806E-3</v>
      </c>
      <c r="D211" s="9">
        <f t="shared" si="233"/>
        <v>0.40778515835176965</v>
      </c>
      <c r="E211" s="9">
        <f t="shared" ref="E211:F211" si="234">3*C206*E206*E206</f>
        <v>5.2277442494833758E-2</v>
      </c>
      <c r="F211" s="10">
        <f t="shared" si="234"/>
        <v>1.1477225575051662</v>
      </c>
    </row>
    <row r="213" spans="1:6" x14ac:dyDescent="0.25">
      <c r="C213" s="2" cm="1">
        <f t="array" ref="C213:F216">MINVERSE(C208:F211)</f>
        <v>0.88511742324582021</v>
      </c>
      <c r="D213" s="3">
        <v>2.0967504154494629</v>
      </c>
      <c r="E213" s="3">
        <v>-10.483752077247326</v>
      </c>
      <c r="F213" s="4">
        <v>8.1540293934145929</v>
      </c>
    </row>
    <row r="214" spans="1:6" x14ac:dyDescent="0.25">
      <c r="B214" s="1" t="s">
        <v>7</v>
      </c>
      <c r="C214" s="5">
        <v>0.1148825767541798</v>
      </c>
      <c r="D214" s="6">
        <v>-2.0967504154494629</v>
      </c>
      <c r="E214" s="6">
        <v>10.483752077247326</v>
      </c>
      <c r="F214" s="7">
        <v>-8.1540293934145929</v>
      </c>
    </row>
    <row r="215" spans="1:6" x14ac:dyDescent="0.25">
      <c r="C215" s="5">
        <v>-0.1243705626566651</v>
      </c>
      <c r="D215" s="6">
        <v>1.4114213554722104</v>
      </c>
      <c r="E215" s="6">
        <v>-3.1281471867166788</v>
      </c>
      <c r="F215" s="7">
        <v>1.9566835038981822</v>
      </c>
    </row>
    <row r="216" spans="1:6" x14ac:dyDescent="0.25">
      <c r="C216" s="8">
        <v>-3.6343723057620445E-2</v>
      </c>
      <c r="D216" s="9">
        <v>0.67786435881350382</v>
      </c>
      <c r="E216" s="9">
        <v>-3.5682813847118955</v>
      </c>
      <c r="F216" s="10">
        <v>3.6683164961018226</v>
      </c>
    </row>
    <row r="217" spans="1:6" x14ac:dyDescent="0.25">
      <c r="B217" s="1" t="s">
        <v>8</v>
      </c>
      <c r="C217" cm="1">
        <f t="array" ref="C217:F217">-TRANSPOSE(MMULT(_xlfn.ANCHORARRAY(C213),TRANSPOSE(C207:F207)))</f>
        <v>0</v>
      </c>
      <c r="D217">
        <v>0</v>
      </c>
      <c r="E217">
        <v>0</v>
      </c>
      <c r="F217">
        <v>0</v>
      </c>
    </row>
    <row r="218" spans="1:6" x14ac:dyDescent="0.25">
      <c r="A218">
        <v>19</v>
      </c>
      <c r="B218" s="1" t="s">
        <v>4</v>
      </c>
      <c r="C218">
        <f t="shared" ref="C218" si="235">C206+C217</f>
        <v>1.3042903097250911</v>
      </c>
      <c r="D218">
        <f t="shared" ref="D218" si="236">D206+D217</f>
        <v>0.69570969027490825</v>
      </c>
      <c r="E218">
        <f t="shared" ref="E218" si="237">E206+E217</f>
        <v>0.11558710999704784</v>
      </c>
      <c r="F218">
        <f t="shared" ref="F218" si="238">F206+F217</f>
        <v>0.74155574714580896</v>
      </c>
    </row>
    <row r="219" spans="1:6" x14ac:dyDescent="0.25">
      <c r="B219" s="1" t="s">
        <v>5</v>
      </c>
      <c r="C219">
        <f t="shared" ref="C219:C282" si="239">C218+D218-2</f>
        <v>0</v>
      </c>
      <c r="D219">
        <f t="shared" ref="D219:D282" si="240">C218*E218+D218*F218-2/3</f>
        <v>0</v>
      </c>
      <c r="E219">
        <f t="shared" ref="E219:E282" si="241">C218*E218*E218+D218*F218*F218-2/5</f>
        <v>0</v>
      </c>
      <c r="F219">
        <f t="shared" ref="F219:F282" si="242">C218*E218*E218*E218+D218*F218*F218*F218-2/7</f>
        <v>0</v>
      </c>
    </row>
    <row r="220" spans="1:6" x14ac:dyDescent="0.25">
      <c r="C220" s="2">
        <f>1</f>
        <v>1</v>
      </c>
      <c r="D220" s="3">
        <f>1</f>
        <v>1</v>
      </c>
      <c r="E220" s="3">
        <f>0</f>
        <v>0</v>
      </c>
      <c r="F220" s="4">
        <f>0</f>
        <v>0</v>
      </c>
    </row>
    <row r="221" spans="1:6" x14ac:dyDescent="0.25">
      <c r="B221" s="1" t="s">
        <v>6</v>
      </c>
      <c r="C221" s="5">
        <f t="shared" ref="C221:D221" si="243">E218</f>
        <v>0.11558710999704784</v>
      </c>
      <c r="D221" s="6">
        <f t="shared" si="243"/>
        <v>0.74155574714580896</v>
      </c>
      <c r="E221" s="6">
        <f t="shared" ref="E221:F221" si="244">C218</f>
        <v>1.3042903097250911</v>
      </c>
      <c r="F221" s="7">
        <f t="shared" si="244"/>
        <v>0.69570969027490825</v>
      </c>
    </row>
    <row r="222" spans="1:6" x14ac:dyDescent="0.25">
      <c r="C222" s="5">
        <f t="shared" ref="C222:D222" si="245">E218*E218</f>
        <v>1.3360379997469637E-2</v>
      </c>
      <c r="D222" s="6">
        <f t="shared" si="245"/>
        <v>0.54990492612497899</v>
      </c>
      <c r="E222" s="6">
        <f t="shared" ref="E222:F222" si="246">2*C218*E218</f>
        <v>0.30151829499655541</v>
      </c>
      <c r="F222" s="7">
        <f t="shared" si="246"/>
        <v>1.0318150383367779</v>
      </c>
    </row>
    <row r="223" spans="1:6" x14ac:dyDescent="0.25">
      <c r="C223" s="8">
        <f t="shared" ref="C223:D223" si="247">E218*E218*E218</f>
        <v>1.5442877123698806E-3</v>
      </c>
      <c r="D223" s="9">
        <f t="shared" si="247"/>
        <v>0.40778515835176965</v>
      </c>
      <c r="E223" s="9">
        <f t="shared" ref="E223:F223" si="248">3*C218*E218*E218</f>
        <v>5.2277442494833758E-2</v>
      </c>
      <c r="F223" s="10">
        <f t="shared" si="248"/>
        <v>1.1477225575051662</v>
      </c>
    </row>
    <row r="225" spans="1:6" x14ac:dyDescent="0.25">
      <c r="C225" s="2" cm="1">
        <f t="array" ref="C225:F228">MINVERSE(C220:F223)</f>
        <v>0.88511742324582021</v>
      </c>
      <c r="D225" s="3">
        <v>2.0967504154494629</v>
      </c>
      <c r="E225" s="3">
        <v>-10.483752077247326</v>
      </c>
      <c r="F225" s="4">
        <v>8.1540293934145929</v>
      </c>
    </row>
    <row r="226" spans="1:6" x14ac:dyDescent="0.25">
      <c r="B226" s="1" t="s">
        <v>7</v>
      </c>
      <c r="C226" s="5">
        <v>0.1148825767541798</v>
      </c>
      <c r="D226" s="6">
        <v>-2.0967504154494629</v>
      </c>
      <c r="E226" s="6">
        <v>10.483752077247326</v>
      </c>
      <c r="F226" s="7">
        <v>-8.1540293934145929</v>
      </c>
    </row>
    <row r="227" spans="1:6" x14ac:dyDescent="0.25">
      <c r="C227" s="5">
        <v>-0.1243705626566651</v>
      </c>
      <c r="D227" s="6">
        <v>1.4114213554722104</v>
      </c>
      <c r="E227" s="6">
        <v>-3.1281471867166788</v>
      </c>
      <c r="F227" s="7">
        <v>1.9566835038981822</v>
      </c>
    </row>
    <row r="228" spans="1:6" x14ac:dyDescent="0.25">
      <c r="C228" s="8">
        <v>-3.6343723057620445E-2</v>
      </c>
      <c r="D228" s="9">
        <v>0.67786435881350382</v>
      </c>
      <c r="E228" s="9">
        <v>-3.5682813847118955</v>
      </c>
      <c r="F228" s="10">
        <v>3.6683164961018226</v>
      </c>
    </row>
    <row r="229" spans="1:6" x14ac:dyDescent="0.25">
      <c r="B229" s="1" t="s">
        <v>8</v>
      </c>
      <c r="C229" cm="1">
        <f t="array" ref="C229:F229">-TRANSPOSE(MMULT(_xlfn.ANCHORARRAY(C225),TRANSPOSE(C219:F219)))</f>
        <v>0</v>
      </c>
      <c r="D229">
        <v>0</v>
      </c>
      <c r="E229">
        <v>0</v>
      </c>
      <c r="F229">
        <v>0</v>
      </c>
    </row>
    <row r="230" spans="1:6" x14ac:dyDescent="0.25">
      <c r="A230">
        <v>20</v>
      </c>
      <c r="B230" s="1" t="s">
        <v>4</v>
      </c>
      <c r="C230">
        <f t="shared" ref="C230" si="249">C218+C229</f>
        <v>1.3042903097250911</v>
      </c>
      <c r="D230">
        <f t="shared" ref="D230" si="250">D218+D229</f>
        <v>0.69570969027490825</v>
      </c>
      <c r="E230">
        <f t="shared" ref="E230" si="251">E218+E229</f>
        <v>0.11558710999704784</v>
      </c>
      <c r="F230">
        <f t="shared" ref="F230" si="252">F218+F229</f>
        <v>0.74155574714580896</v>
      </c>
    </row>
    <row r="231" spans="1:6" x14ac:dyDescent="0.25">
      <c r="B231" s="1" t="s">
        <v>5</v>
      </c>
      <c r="C231">
        <f t="shared" ref="C231:C294" si="253">C230+D230-2</f>
        <v>0</v>
      </c>
      <c r="D231">
        <f t="shared" ref="D231:D294" si="254">C230*E230+D230*F230-2/3</f>
        <v>0</v>
      </c>
      <c r="E231">
        <f t="shared" ref="E231:E294" si="255">C230*E230*E230+D230*F230*F230-2/5</f>
        <v>0</v>
      </c>
      <c r="F231">
        <f t="shared" ref="F231:F294" si="256">C230*E230*E230*E230+D230*F230*F230*F230-2/7</f>
        <v>0</v>
      </c>
    </row>
    <row r="232" spans="1:6" x14ac:dyDescent="0.25">
      <c r="C232" s="2">
        <f>1</f>
        <v>1</v>
      </c>
      <c r="D232" s="3">
        <f>1</f>
        <v>1</v>
      </c>
      <c r="E232" s="3">
        <f>0</f>
        <v>0</v>
      </c>
      <c r="F232" s="4">
        <f>0</f>
        <v>0</v>
      </c>
    </row>
    <row r="233" spans="1:6" x14ac:dyDescent="0.25">
      <c r="B233" s="1" t="s">
        <v>6</v>
      </c>
      <c r="C233" s="5">
        <f t="shared" ref="C233:D233" si="257">E230</f>
        <v>0.11558710999704784</v>
      </c>
      <c r="D233" s="6">
        <f t="shared" si="257"/>
        <v>0.74155574714580896</v>
      </c>
      <c r="E233" s="6">
        <f t="shared" ref="E233:F233" si="258">C230</f>
        <v>1.3042903097250911</v>
      </c>
      <c r="F233" s="7">
        <f t="shared" si="258"/>
        <v>0.69570969027490825</v>
      </c>
    </row>
    <row r="234" spans="1:6" x14ac:dyDescent="0.25">
      <c r="C234" s="5">
        <f t="shared" ref="C234:D234" si="259">E230*E230</f>
        <v>1.3360379997469637E-2</v>
      </c>
      <c r="D234" s="6">
        <f t="shared" si="259"/>
        <v>0.54990492612497899</v>
      </c>
      <c r="E234" s="6">
        <f t="shared" ref="E234:F234" si="260">2*C230*E230</f>
        <v>0.30151829499655541</v>
      </c>
      <c r="F234" s="7">
        <f t="shared" si="260"/>
        <v>1.0318150383367779</v>
      </c>
    </row>
    <row r="235" spans="1:6" x14ac:dyDescent="0.25">
      <c r="C235" s="8">
        <f t="shared" ref="C235:D235" si="261">E230*E230*E230</f>
        <v>1.5442877123698806E-3</v>
      </c>
      <c r="D235" s="9">
        <f t="shared" si="261"/>
        <v>0.40778515835176965</v>
      </c>
      <c r="E235" s="9">
        <f t="shared" ref="E235:F235" si="262">3*C230*E230*E230</f>
        <v>5.2277442494833758E-2</v>
      </c>
      <c r="F235" s="10">
        <f t="shared" si="262"/>
        <v>1.1477225575051662</v>
      </c>
    </row>
    <row r="237" spans="1:6" x14ac:dyDescent="0.25">
      <c r="C237" s="2" cm="1">
        <f t="array" ref="C237:F240">MINVERSE(C232:F235)</f>
        <v>0.88511742324582021</v>
      </c>
      <c r="D237" s="3">
        <v>2.0967504154494629</v>
      </c>
      <c r="E237" s="3">
        <v>-10.483752077247326</v>
      </c>
      <c r="F237" s="4">
        <v>8.1540293934145929</v>
      </c>
    </row>
    <row r="238" spans="1:6" x14ac:dyDescent="0.25">
      <c r="B238" s="1" t="s">
        <v>7</v>
      </c>
      <c r="C238" s="5">
        <v>0.1148825767541798</v>
      </c>
      <c r="D238" s="6">
        <v>-2.0967504154494629</v>
      </c>
      <c r="E238" s="6">
        <v>10.483752077247326</v>
      </c>
      <c r="F238" s="7">
        <v>-8.1540293934145929</v>
      </c>
    </row>
    <row r="239" spans="1:6" x14ac:dyDescent="0.25">
      <c r="C239" s="5">
        <v>-0.1243705626566651</v>
      </c>
      <c r="D239" s="6">
        <v>1.4114213554722104</v>
      </c>
      <c r="E239" s="6">
        <v>-3.1281471867166788</v>
      </c>
      <c r="F239" s="7">
        <v>1.9566835038981822</v>
      </c>
    </row>
    <row r="240" spans="1:6" x14ac:dyDescent="0.25">
      <c r="C240" s="8">
        <v>-3.6343723057620445E-2</v>
      </c>
      <c r="D240" s="9">
        <v>0.67786435881350382</v>
      </c>
      <c r="E240" s="9">
        <v>-3.5682813847118955</v>
      </c>
      <c r="F240" s="10">
        <v>3.6683164961018226</v>
      </c>
    </row>
    <row r="241" spans="1:6" x14ac:dyDescent="0.25">
      <c r="B241" s="1" t="s">
        <v>8</v>
      </c>
      <c r="C241" cm="1">
        <f t="array" ref="C241:F241">-TRANSPOSE(MMULT(_xlfn.ANCHORARRAY(C237),TRANSPOSE(C231:F231)))</f>
        <v>0</v>
      </c>
      <c r="D241">
        <v>0</v>
      </c>
      <c r="E241">
        <v>0</v>
      </c>
      <c r="F241">
        <v>0</v>
      </c>
    </row>
    <row r="242" spans="1:6" x14ac:dyDescent="0.25">
      <c r="A242">
        <v>21</v>
      </c>
      <c r="B242" s="1" t="s">
        <v>4</v>
      </c>
      <c r="C242">
        <f t="shared" ref="C242" si="263">C230+C241</f>
        <v>1.3042903097250911</v>
      </c>
      <c r="D242">
        <f t="shared" ref="D242" si="264">D230+D241</f>
        <v>0.69570969027490825</v>
      </c>
      <c r="E242">
        <f t="shared" ref="E242" si="265">E230+E241</f>
        <v>0.11558710999704784</v>
      </c>
      <c r="F242">
        <f t="shared" ref="F242" si="266">F230+F241</f>
        <v>0.74155574714580896</v>
      </c>
    </row>
    <row r="243" spans="1:6" x14ac:dyDescent="0.25">
      <c r="B243" s="1" t="s">
        <v>5</v>
      </c>
      <c r="C243">
        <f t="shared" ref="C243:C306" si="267">C242+D242-2</f>
        <v>0</v>
      </c>
      <c r="D243">
        <f t="shared" ref="D243:D306" si="268">C242*E242+D242*F242-2/3</f>
        <v>0</v>
      </c>
      <c r="E243">
        <f t="shared" ref="E243:E306" si="269">C242*E242*E242+D242*F242*F242-2/5</f>
        <v>0</v>
      </c>
      <c r="F243">
        <f t="shared" ref="F243:F306" si="270">C242*E242*E242*E242+D242*F242*F242*F242-2/7</f>
        <v>0</v>
      </c>
    </row>
    <row r="244" spans="1:6" x14ac:dyDescent="0.25">
      <c r="C244" s="2">
        <f>1</f>
        <v>1</v>
      </c>
      <c r="D244" s="3">
        <f>1</f>
        <v>1</v>
      </c>
      <c r="E244" s="3">
        <f>0</f>
        <v>0</v>
      </c>
      <c r="F244" s="4">
        <f>0</f>
        <v>0</v>
      </c>
    </row>
    <row r="245" spans="1:6" x14ac:dyDescent="0.25">
      <c r="B245" s="1" t="s">
        <v>6</v>
      </c>
      <c r="C245" s="5">
        <f t="shared" ref="C245:D245" si="271">E242</f>
        <v>0.11558710999704784</v>
      </c>
      <c r="D245" s="6">
        <f t="shared" si="271"/>
        <v>0.74155574714580896</v>
      </c>
      <c r="E245" s="6">
        <f t="shared" ref="E245:F245" si="272">C242</f>
        <v>1.3042903097250911</v>
      </c>
      <c r="F245" s="7">
        <f t="shared" si="272"/>
        <v>0.69570969027490825</v>
      </c>
    </row>
    <row r="246" spans="1:6" x14ac:dyDescent="0.25">
      <c r="C246" s="5">
        <f t="shared" ref="C246:D246" si="273">E242*E242</f>
        <v>1.3360379997469637E-2</v>
      </c>
      <c r="D246" s="6">
        <f t="shared" si="273"/>
        <v>0.54990492612497899</v>
      </c>
      <c r="E246" s="6">
        <f t="shared" ref="E246:F246" si="274">2*C242*E242</f>
        <v>0.30151829499655541</v>
      </c>
      <c r="F246" s="7">
        <f t="shared" si="274"/>
        <v>1.0318150383367779</v>
      </c>
    </row>
    <row r="247" spans="1:6" x14ac:dyDescent="0.25">
      <c r="C247" s="8">
        <f t="shared" ref="C247:D247" si="275">E242*E242*E242</f>
        <v>1.5442877123698806E-3</v>
      </c>
      <c r="D247" s="9">
        <f t="shared" si="275"/>
        <v>0.40778515835176965</v>
      </c>
      <c r="E247" s="9">
        <f t="shared" ref="E247:F247" si="276">3*C242*E242*E242</f>
        <v>5.2277442494833758E-2</v>
      </c>
      <c r="F247" s="10">
        <f t="shared" si="276"/>
        <v>1.1477225575051662</v>
      </c>
    </row>
    <row r="249" spans="1:6" x14ac:dyDescent="0.25">
      <c r="C249" s="2" cm="1">
        <f t="array" ref="C249:F252">MINVERSE(C244:F247)</f>
        <v>0.88511742324582021</v>
      </c>
      <c r="D249" s="3">
        <v>2.0967504154494629</v>
      </c>
      <c r="E249" s="3">
        <v>-10.483752077247326</v>
      </c>
      <c r="F249" s="4">
        <v>8.1540293934145929</v>
      </c>
    </row>
    <row r="250" spans="1:6" x14ac:dyDescent="0.25">
      <c r="B250" s="1" t="s">
        <v>7</v>
      </c>
      <c r="C250" s="5">
        <v>0.1148825767541798</v>
      </c>
      <c r="D250" s="6">
        <v>-2.0967504154494629</v>
      </c>
      <c r="E250" s="6">
        <v>10.483752077247326</v>
      </c>
      <c r="F250" s="7">
        <v>-8.1540293934145929</v>
      </c>
    </row>
    <row r="251" spans="1:6" x14ac:dyDescent="0.25">
      <c r="C251" s="5">
        <v>-0.1243705626566651</v>
      </c>
      <c r="D251" s="6">
        <v>1.4114213554722104</v>
      </c>
      <c r="E251" s="6">
        <v>-3.1281471867166788</v>
      </c>
      <c r="F251" s="7">
        <v>1.9566835038981822</v>
      </c>
    </row>
    <row r="252" spans="1:6" x14ac:dyDescent="0.25">
      <c r="C252" s="8">
        <v>-3.6343723057620445E-2</v>
      </c>
      <c r="D252" s="9">
        <v>0.67786435881350382</v>
      </c>
      <c r="E252" s="9">
        <v>-3.5682813847118955</v>
      </c>
      <c r="F252" s="10">
        <v>3.6683164961018226</v>
      </c>
    </row>
    <row r="253" spans="1:6" x14ac:dyDescent="0.25">
      <c r="B253" s="1" t="s">
        <v>8</v>
      </c>
      <c r="C253" cm="1">
        <f t="array" ref="C253:F253">-TRANSPOSE(MMULT(_xlfn.ANCHORARRAY(C249),TRANSPOSE(C243:F243)))</f>
        <v>0</v>
      </c>
      <c r="D253">
        <v>0</v>
      </c>
      <c r="E253">
        <v>0</v>
      </c>
      <c r="F253">
        <v>0</v>
      </c>
    </row>
    <row r="254" spans="1:6" x14ac:dyDescent="0.25">
      <c r="A254">
        <v>22</v>
      </c>
      <c r="B254" s="1" t="s">
        <v>4</v>
      </c>
      <c r="C254">
        <f t="shared" ref="C254" si="277">C242+C253</f>
        <v>1.3042903097250911</v>
      </c>
      <c r="D254">
        <f t="shared" ref="D254" si="278">D242+D253</f>
        <v>0.69570969027490825</v>
      </c>
      <c r="E254">
        <f t="shared" ref="E254" si="279">E242+E253</f>
        <v>0.11558710999704784</v>
      </c>
      <c r="F254">
        <f t="shared" ref="F254" si="280">F242+F253</f>
        <v>0.74155574714580896</v>
      </c>
    </row>
    <row r="255" spans="1:6" x14ac:dyDescent="0.25">
      <c r="B255" s="1" t="s">
        <v>5</v>
      </c>
      <c r="C255">
        <f t="shared" ref="C255:C318" si="281">C254+D254-2</f>
        <v>0</v>
      </c>
      <c r="D255">
        <f t="shared" ref="D255:D318" si="282">C254*E254+D254*F254-2/3</f>
        <v>0</v>
      </c>
      <c r="E255">
        <f t="shared" ref="E255:E318" si="283">C254*E254*E254+D254*F254*F254-2/5</f>
        <v>0</v>
      </c>
      <c r="F255">
        <f t="shared" ref="F255:F318" si="284">C254*E254*E254*E254+D254*F254*F254*F254-2/7</f>
        <v>0</v>
      </c>
    </row>
    <row r="256" spans="1:6" x14ac:dyDescent="0.25">
      <c r="C256" s="2">
        <f>1</f>
        <v>1</v>
      </c>
      <c r="D256" s="3">
        <f>1</f>
        <v>1</v>
      </c>
      <c r="E256" s="3">
        <f>0</f>
        <v>0</v>
      </c>
      <c r="F256" s="4">
        <f>0</f>
        <v>0</v>
      </c>
    </row>
    <row r="257" spans="1:6" x14ac:dyDescent="0.25">
      <c r="B257" s="1" t="s">
        <v>6</v>
      </c>
      <c r="C257" s="5">
        <f t="shared" ref="C257:D257" si="285">E254</f>
        <v>0.11558710999704784</v>
      </c>
      <c r="D257" s="6">
        <f t="shared" si="285"/>
        <v>0.74155574714580896</v>
      </c>
      <c r="E257" s="6">
        <f t="shared" ref="E257:F257" si="286">C254</f>
        <v>1.3042903097250911</v>
      </c>
      <c r="F257" s="7">
        <f t="shared" si="286"/>
        <v>0.69570969027490825</v>
      </c>
    </row>
    <row r="258" spans="1:6" x14ac:dyDescent="0.25">
      <c r="C258" s="5">
        <f t="shared" ref="C258:D258" si="287">E254*E254</f>
        <v>1.3360379997469637E-2</v>
      </c>
      <c r="D258" s="6">
        <f t="shared" si="287"/>
        <v>0.54990492612497899</v>
      </c>
      <c r="E258" s="6">
        <f t="shared" ref="E258:F258" si="288">2*C254*E254</f>
        <v>0.30151829499655541</v>
      </c>
      <c r="F258" s="7">
        <f t="shared" si="288"/>
        <v>1.0318150383367779</v>
      </c>
    </row>
    <row r="259" spans="1:6" x14ac:dyDescent="0.25">
      <c r="C259" s="8">
        <f t="shared" ref="C259:D259" si="289">E254*E254*E254</f>
        <v>1.5442877123698806E-3</v>
      </c>
      <c r="D259" s="9">
        <f t="shared" si="289"/>
        <v>0.40778515835176965</v>
      </c>
      <c r="E259" s="9">
        <f t="shared" ref="E259:F259" si="290">3*C254*E254*E254</f>
        <v>5.2277442494833758E-2</v>
      </c>
      <c r="F259" s="10">
        <f t="shared" si="290"/>
        <v>1.1477225575051662</v>
      </c>
    </row>
    <row r="261" spans="1:6" x14ac:dyDescent="0.25">
      <c r="C261" s="2" cm="1">
        <f t="array" ref="C261:F264">MINVERSE(C256:F259)</f>
        <v>0.88511742324582021</v>
      </c>
      <c r="D261" s="3">
        <v>2.0967504154494629</v>
      </c>
      <c r="E261" s="3">
        <v>-10.483752077247326</v>
      </c>
      <c r="F261" s="4">
        <v>8.1540293934145929</v>
      </c>
    </row>
    <row r="262" spans="1:6" x14ac:dyDescent="0.25">
      <c r="B262" s="1" t="s">
        <v>7</v>
      </c>
      <c r="C262" s="5">
        <v>0.1148825767541798</v>
      </c>
      <c r="D262" s="6">
        <v>-2.0967504154494629</v>
      </c>
      <c r="E262" s="6">
        <v>10.483752077247326</v>
      </c>
      <c r="F262" s="7">
        <v>-8.1540293934145929</v>
      </c>
    </row>
    <row r="263" spans="1:6" x14ac:dyDescent="0.25">
      <c r="C263" s="5">
        <v>-0.1243705626566651</v>
      </c>
      <c r="D263" s="6">
        <v>1.4114213554722104</v>
      </c>
      <c r="E263" s="6">
        <v>-3.1281471867166788</v>
      </c>
      <c r="F263" s="7">
        <v>1.9566835038981822</v>
      </c>
    </row>
    <row r="264" spans="1:6" x14ac:dyDescent="0.25">
      <c r="C264" s="8">
        <v>-3.6343723057620445E-2</v>
      </c>
      <c r="D264" s="9">
        <v>0.67786435881350382</v>
      </c>
      <c r="E264" s="9">
        <v>-3.5682813847118955</v>
      </c>
      <c r="F264" s="10">
        <v>3.6683164961018226</v>
      </c>
    </row>
    <row r="265" spans="1:6" x14ac:dyDescent="0.25">
      <c r="B265" s="1" t="s">
        <v>8</v>
      </c>
      <c r="C265" cm="1">
        <f t="array" ref="C265:F265">-TRANSPOSE(MMULT(_xlfn.ANCHORARRAY(C261),TRANSPOSE(C255:F255)))</f>
        <v>0</v>
      </c>
      <c r="D265">
        <v>0</v>
      </c>
      <c r="E265">
        <v>0</v>
      </c>
      <c r="F265">
        <v>0</v>
      </c>
    </row>
    <row r="266" spans="1:6" x14ac:dyDescent="0.25">
      <c r="A266">
        <v>23</v>
      </c>
      <c r="B266" s="1" t="s">
        <v>4</v>
      </c>
      <c r="C266">
        <f t="shared" ref="C266" si="291">C254+C265</f>
        <v>1.3042903097250911</v>
      </c>
      <c r="D266">
        <f t="shared" ref="D266" si="292">D254+D265</f>
        <v>0.69570969027490825</v>
      </c>
      <c r="E266">
        <f t="shared" ref="E266" si="293">E254+E265</f>
        <v>0.11558710999704784</v>
      </c>
      <c r="F266">
        <f t="shared" ref="F266" si="294">F254+F265</f>
        <v>0.74155574714580896</v>
      </c>
    </row>
    <row r="267" spans="1:6" x14ac:dyDescent="0.25">
      <c r="B267" s="1" t="s">
        <v>5</v>
      </c>
      <c r="C267">
        <f t="shared" ref="C267:C330" si="295">C266+D266-2</f>
        <v>0</v>
      </c>
      <c r="D267">
        <f t="shared" ref="D267:D330" si="296">C266*E266+D266*F266-2/3</f>
        <v>0</v>
      </c>
      <c r="E267">
        <f t="shared" ref="E267:E330" si="297">C266*E266*E266+D266*F266*F266-2/5</f>
        <v>0</v>
      </c>
      <c r="F267">
        <f t="shared" ref="F267:F330" si="298">C266*E266*E266*E266+D266*F266*F266*F266-2/7</f>
        <v>0</v>
      </c>
    </row>
    <row r="268" spans="1:6" x14ac:dyDescent="0.25">
      <c r="C268" s="2">
        <f>1</f>
        <v>1</v>
      </c>
      <c r="D268" s="3">
        <f>1</f>
        <v>1</v>
      </c>
      <c r="E268" s="3">
        <f>0</f>
        <v>0</v>
      </c>
      <c r="F268" s="4">
        <f>0</f>
        <v>0</v>
      </c>
    </row>
    <row r="269" spans="1:6" x14ac:dyDescent="0.25">
      <c r="B269" s="1" t="s">
        <v>6</v>
      </c>
      <c r="C269" s="5">
        <f t="shared" ref="C269:D269" si="299">E266</f>
        <v>0.11558710999704784</v>
      </c>
      <c r="D269" s="6">
        <f t="shared" si="299"/>
        <v>0.74155574714580896</v>
      </c>
      <c r="E269" s="6">
        <f t="shared" ref="E269:F269" si="300">C266</f>
        <v>1.3042903097250911</v>
      </c>
      <c r="F269" s="7">
        <f t="shared" si="300"/>
        <v>0.69570969027490825</v>
      </c>
    </row>
    <row r="270" spans="1:6" x14ac:dyDescent="0.25">
      <c r="C270" s="5">
        <f t="shared" ref="C270:D270" si="301">E266*E266</f>
        <v>1.3360379997469637E-2</v>
      </c>
      <c r="D270" s="6">
        <f t="shared" si="301"/>
        <v>0.54990492612497899</v>
      </c>
      <c r="E270" s="6">
        <f t="shared" ref="E270:F270" si="302">2*C266*E266</f>
        <v>0.30151829499655541</v>
      </c>
      <c r="F270" s="7">
        <f t="shared" si="302"/>
        <v>1.0318150383367779</v>
      </c>
    </row>
    <row r="271" spans="1:6" x14ac:dyDescent="0.25">
      <c r="C271" s="8">
        <f t="shared" ref="C271:D271" si="303">E266*E266*E266</f>
        <v>1.5442877123698806E-3</v>
      </c>
      <c r="D271" s="9">
        <f t="shared" si="303"/>
        <v>0.40778515835176965</v>
      </c>
      <c r="E271" s="9">
        <f t="shared" ref="E271:F271" si="304">3*C266*E266*E266</f>
        <v>5.2277442494833758E-2</v>
      </c>
      <c r="F271" s="10">
        <f t="shared" si="304"/>
        <v>1.1477225575051662</v>
      </c>
    </row>
    <row r="273" spans="1:6" x14ac:dyDescent="0.25">
      <c r="C273" s="2" cm="1">
        <f t="array" ref="C273:F276">MINVERSE(C268:F271)</f>
        <v>0.88511742324582021</v>
      </c>
      <c r="D273" s="3">
        <v>2.0967504154494629</v>
      </c>
      <c r="E273" s="3">
        <v>-10.483752077247326</v>
      </c>
      <c r="F273" s="4">
        <v>8.1540293934145929</v>
      </c>
    </row>
    <row r="274" spans="1:6" x14ac:dyDescent="0.25">
      <c r="B274" s="1" t="s">
        <v>7</v>
      </c>
      <c r="C274" s="5">
        <v>0.1148825767541798</v>
      </c>
      <c r="D274" s="6">
        <v>-2.0967504154494629</v>
      </c>
      <c r="E274" s="6">
        <v>10.483752077247326</v>
      </c>
      <c r="F274" s="7">
        <v>-8.1540293934145929</v>
      </c>
    </row>
    <row r="275" spans="1:6" x14ac:dyDescent="0.25">
      <c r="C275" s="5">
        <v>-0.1243705626566651</v>
      </c>
      <c r="D275" s="6">
        <v>1.4114213554722104</v>
      </c>
      <c r="E275" s="6">
        <v>-3.1281471867166788</v>
      </c>
      <c r="F275" s="7">
        <v>1.9566835038981822</v>
      </c>
    </row>
    <row r="276" spans="1:6" x14ac:dyDescent="0.25">
      <c r="C276" s="8">
        <v>-3.6343723057620445E-2</v>
      </c>
      <c r="D276" s="9">
        <v>0.67786435881350382</v>
      </c>
      <c r="E276" s="9">
        <v>-3.5682813847118955</v>
      </c>
      <c r="F276" s="10">
        <v>3.6683164961018226</v>
      </c>
    </row>
    <row r="277" spans="1:6" x14ac:dyDescent="0.25">
      <c r="B277" s="1" t="s">
        <v>8</v>
      </c>
      <c r="C277" cm="1">
        <f t="array" ref="C277:F277">-TRANSPOSE(MMULT(_xlfn.ANCHORARRAY(C273),TRANSPOSE(C267:F267)))</f>
        <v>0</v>
      </c>
      <c r="D277">
        <v>0</v>
      </c>
      <c r="E277">
        <v>0</v>
      </c>
      <c r="F277">
        <v>0</v>
      </c>
    </row>
    <row r="278" spans="1:6" x14ac:dyDescent="0.25">
      <c r="A278">
        <v>24</v>
      </c>
      <c r="B278" s="1" t="s">
        <v>4</v>
      </c>
      <c r="C278">
        <f t="shared" ref="C278" si="305">C266+C277</f>
        <v>1.3042903097250911</v>
      </c>
      <c r="D278">
        <f t="shared" ref="D278" si="306">D266+D277</f>
        <v>0.69570969027490825</v>
      </c>
      <c r="E278">
        <f t="shared" ref="E278" si="307">E266+E277</f>
        <v>0.11558710999704784</v>
      </c>
      <c r="F278">
        <f t="shared" ref="F278" si="308">F266+F277</f>
        <v>0.74155574714580896</v>
      </c>
    </row>
    <row r="279" spans="1:6" x14ac:dyDescent="0.25">
      <c r="B279" s="1" t="s">
        <v>5</v>
      </c>
      <c r="C279">
        <f t="shared" ref="C279:C342" si="309">C278+D278-2</f>
        <v>0</v>
      </c>
      <c r="D279">
        <f t="shared" ref="D279:D342" si="310">C278*E278+D278*F278-2/3</f>
        <v>0</v>
      </c>
      <c r="E279">
        <f t="shared" ref="E279:E342" si="311">C278*E278*E278+D278*F278*F278-2/5</f>
        <v>0</v>
      </c>
      <c r="F279">
        <f t="shared" ref="F279:F342" si="312">C278*E278*E278*E278+D278*F278*F278*F278-2/7</f>
        <v>0</v>
      </c>
    </row>
    <row r="280" spans="1:6" x14ac:dyDescent="0.25">
      <c r="C280" s="2">
        <f>1</f>
        <v>1</v>
      </c>
      <c r="D280" s="3">
        <f>1</f>
        <v>1</v>
      </c>
      <c r="E280" s="3">
        <f>0</f>
        <v>0</v>
      </c>
      <c r="F280" s="4">
        <f>0</f>
        <v>0</v>
      </c>
    </row>
    <row r="281" spans="1:6" x14ac:dyDescent="0.25">
      <c r="B281" s="1" t="s">
        <v>6</v>
      </c>
      <c r="C281" s="5">
        <f t="shared" ref="C281:D281" si="313">E278</f>
        <v>0.11558710999704784</v>
      </c>
      <c r="D281" s="6">
        <f t="shared" si="313"/>
        <v>0.74155574714580896</v>
      </c>
      <c r="E281" s="6">
        <f t="shared" ref="E281:F281" si="314">C278</f>
        <v>1.3042903097250911</v>
      </c>
      <c r="F281" s="7">
        <f t="shared" si="314"/>
        <v>0.69570969027490825</v>
      </c>
    </row>
    <row r="282" spans="1:6" x14ac:dyDescent="0.25">
      <c r="C282" s="5">
        <f t="shared" ref="C282:D282" si="315">E278*E278</f>
        <v>1.3360379997469637E-2</v>
      </c>
      <c r="D282" s="6">
        <f t="shared" si="315"/>
        <v>0.54990492612497899</v>
      </c>
      <c r="E282" s="6">
        <f t="shared" ref="E282:F282" si="316">2*C278*E278</f>
        <v>0.30151829499655541</v>
      </c>
      <c r="F282" s="7">
        <f t="shared" si="316"/>
        <v>1.0318150383367779</v>
      </c>
    </row>
    <row r="283" spans="1:6" x14ac:dyDescent="0.25">
      <c r="C283" s="8">
        <f t="shared" ref="C283:D283" si="317">E278*E278*E278</f>
        <v>1.5442877123698806E-3</v>
      </c>
      <c r="D283" s="9">
        <f t="shared" si="317"/>
        <v>0.40778515835176965</v>
      </c>
      <c r="E283" s="9">
        <f t="shared" ref="E283:F283" si="318">3*C278*E278*E278</f>
        <v>5.2277442494833758E-2</v>
      </c>
      <c r="F283" s="10">
        <f t="shared" si="318"/>
        <v>1.1477225575051662</v>
      </c>
    </row>
    <row r="285" spans="1:6" x14ac:dyDescent="0.25">
      <c r="C285" s="2" cm="1">
        <f t="array" ref="C285:F288">MINVERSE(C280:F283)</f>
        <v>0.88511742324582021</v>
      </c>
      <c r="D285" s="3">
        <v>2.0967504154494629</v>
      </c>
      <c r="E285" s="3">
        <v>-10.483752077247326</v>
      </c>
      <c r="F285" s="4">
        <v>8.1540293934145929</v>
      </c>
    </row>
    <row r="286" spans="1:6" x14ac:dyDescent="0.25">
      <c r="B286" s="1" t="s">
        <v>7</v>
      </c>
      <c r="C286" s="5">
        <v>0.1148825767541798</v>
      </c>
      <c r="D286" s="6">
        <v>-2.0967504154494629</v>
      </c>
      <c r="E286" s="6">
        <v>10.483752077247326</v>
      </c>
      <c r="F286" s="7">
        <v>-8.1540293934145929</v>
      </c>
    </row>
    <row r="287" spans="1:6" x14ac:dyDescent="0.25">
      <c r="C287" s="5">
        <v>-0.1243705626566651</v>
      </c>
      <c r="D287" s="6">
        <v>1.4114213554722104</v>
      </c>
      <c r="E287" s="6">
        <v>-3.1281471867166788</v>
      </c>
      <c r="F287" s="7">
        <v>1.9566835038981822</v>
      </c>
    </row>
    <row r="288" spans="1:6" x14ac:dyDescent="0.25">
      <c r="C288" s="8">
        <v>-3.6343723057620445E-2</v>
      </c>
      <c r="D288" s="9">
        <v>0.67786435881350382</v>
      </c>
      <c r="E288" s="9">
        <v>-3.5682813847118955</v>
      </c>
      <c r="F288" s="10">
        <v>3.6683164961018226</v>
      </c>
    </row>
    <row r="289" spans="1:6" x14ac:dyDescent="0.25">
      <c r="B289" s="1" t="s">
        <v>8</v>
      </c>
      <c r="C289" cm="1">
        <f t="array" ref="C289:F289">-TRANSPOSE(MMULT(_xlfn.ANCHORARRAY(C285),TRANSPOSE(C279:F279)))</f>
        <v>0</v>
      </c>
      <c r="D289">
        <v>0</v>
      </c>
      <c r="E289">
        <v>0</v>
      </c>
      <c r="F289">
        <v>0</v>
      </c>
    </row>
    <row r="290" spans="1:6" x14ac:dyDescent="0.25">
      <c r="A290">
        <v>25</v>
      </c>
      <c r="B290" s="1" t="s">
        <v>4</v>
      </c>
      <c r="C290">
        <f t="shared" ref="C290" si="319">C278+C289</f>
        <v>1.3042903097250911</v>
      </c>
      <c r="D290">
        <f t="shared" ref="D290" si="320">D278+D289</f>
        <v>0.69570969027490825</v>
      </c>
      <c r="E290">
        <f t="shared" ref="E290" si="321">E278+E289</f>
        <v>0.11558710999704784</v>
      </c>
      <c r="F290">
        <f t="shared" ref="F290" si="322">F278+F289</f>
        <v>0.74155574714580896</v>
      </c>
    </row>
    <row r="291" spans="1:6" x14ac:dyDescent="0.25">
      <c r="B291" s="1" t="s">
        <v>5</v>
      </c>
      <c r="C291">
        <f t="shared" ref="C291:C354" si="323">C290+D290-2</f>
        <v>0</v>
      </c>
      <c r="D291">
        <f t="shared" ref="D291:D354" si="324">C290*E290+D290*F290-2/3</f>
        <v>0</v>
      </c>
      <c r="E291">
        <f t="shared" ref="E291:E354" si="325">C290*E290*E290+D290*F290*F290-2/5</f>
        <v>0</v>
      </c>
      <c r="F291">
        <f t="shared" ref="F291:F354" si="326">C290*E290*E290*E290+D290*F290*F290*F290-2/7</f>
        <v>0</v>
      </c>
    </row>
    <row r="292" spans="1:6" x14ac:dyDescent="0.25">
      <c r="C292" s="2">
        <f>1</f>
        <v>1</v>
      </c>
      <c r="D292" s="3">
        <f>1</f>
        <v>1</v>
      </c>
      <c r="E292" s="3">
        <f>0</f>
        <v>0</v>
      </c>
      <c r="F292" s="4">
        <f>0</f>
        <v>0</v>
      </c>
    </row>
    <row r="293" spans="1:6" x14ac:dyDescent="0.25">
      <c r="B293" s="1" t="s">
        <v>6</v>
      </c>
      <c r="C293" s="5">
        <f t="shared" ref="C293:D293" si="327">E290</f>
        <v>0.11558710999704784</v>
      </c>
      <c r="D293" s="6">
        <f t="shared" si="327"/>
        <v>0.74155574714580896</v>
      </c>
      <c r="E293" s="6">
        <f t="shared" ref="E293:F293" si="328">C290</f>
        <v>1.3042903097250911</v>
      </c>
      <c r="F293" s="7">
        <f t="shared" si="328"/>
        <v>0.69570969027490825</v>
      </c>
    </row>
    <row r="294" spans="1:6" x14ac:dyDescent="0.25">
      <c r="C294" s="5">
        <f t="shared" ref="C294:D294" si="329">E290*E290</f>
        <v>1.3360379997469637E-2</v>
      </c>
      <c r="D294" s="6">
        <f t="shared" si="329"/>
        <v>0.54990492612497899</v>
      </c>
      <c r="E294" s="6">
        <f t="shared" ref="E294:F294" si="330">2*C290*E290</f>
        <v>0.30151829499655541</v>
      </c>
      <c r="F294" s="7">
        <f t="shared" si="330"/>
        <v>1.0318150383367779</v>
      </c>
    </row>
    <row r="295" spans="1:6" x14ac:dyDescent="0.25">
      <c r="C295" s="8">
        <f t="shared" ref="C295:D295" si="331">E290*E290*E290</f>
        <v>1.5442877123698806E-3</v>
      </c>
      <c r="D295" s="9">
        <f t="shared" si="331"/>
        <v>0.40778515835176965</v>
      </c>
      <c r="E295" s="9">
        <f t="shared" ref="E295:F295" si="332">3*C290*E290*E290</f>
        <v>5.2277442494833758E-2</v>
      </c>
      <c r="F295" s="10">
        <f t="shared" si="332"/>
        <v>1.1477225575051662</v>
      </c>
    </row>
    <row r="297" spans="1:6" x14ac:dyDescent="0.25">
      <c r="C297" s="2" cm="1">
        <f t="array" ref="C297:F300">MINVERSE(C292:F295)</f>
        <v>0.88511742324582021</v>
      </c>
      <c r="D297" s="3">
        <v>2.0967504154494629</v>
      </c>
      <c r="E297" s="3">
        <v>-10.483752077247326</v>
      </c>
      <c r="F297" s="4">
        <v>8.1540293934145929</v>
      </c>
    </row>
    <row r="298" spans="1:6" x14ac:dyDescent="0.25">
      <c r="B298" s="1" t="s">
        <v>7</v>
      </c>
      <c r="C298" s="5">
        <v>0.1148825767541798</v>
      </c>
      <c r="D298" s="6">
        <v>-2.0967504154494629</v>
      </c>
      <c r="E298" s="6">
        <v>10.483752077247326</v>
      </c>
      <c r="F298" s="7">
        <v>-8.1540293934145929</v>
      </c>
    </row>
    <row r="299" spans="1:6" x14ac:dyDescent="0.25">
      <c r="C299" s="5">
        <v>-0.1243705626566651</v>
      </c>
      <c r="D299" s="6">
        <v>1.4114213554722104</v>
      </c>
      <c r="E299" s="6">
        <v>-3.1281471867166788</v>
      </c>
      <c r="F299" s="7">
        <v>1.9566835038981822</v>
      </c>
    </row>
    <row r="300" spans="1:6" x14ac:dyDescent="0.25">
      <c r="C300" s="8">
        <v>-3.6343723057620445E-2</v>
      </c>
      <c r="D300" s="9">
        <v>0.67786435881350382</v>
      </c>
      <c r="E300" s="9">
        <v>-3.5682813847118955</v>
      </c>
      <c r="F300" s="10">
        <v>3.6683164961018226</v>
      </c>
    </row>
    <row r="301" spans="1:6" x14ac:dyDescent="0.25">
      <c r="B301" s="1" t="s">
        <v>8</v>
      </c>
      <c r="C301" cm="1">
        <f t="array" ref="C301:F301">-TRANSPOSE(MMULT(_xlfn.ANCHORARRAY(C297),TRANSPOSE(C291:F291)))</f>
        <v>0</v>
      </c>
      <c r="D301">
        <v>0</v>
      </c>
      <c r="E301">
        <v>0</v>
      </c>
      <c r="F301">
        <v>0</v>
      </c>
    </row>
    <row r="302" spans="1:6" x14ac:dyDescent="0.25">
      <c r="A302">
        <v>26</v>
      </c>
      <c r="B302" s="1" t="s">
        <v>4</v>
      </c>
      <c r="C302">
        <f t="shared" ref="C302" si="333">C290+C301</f>
        <v>1.3042903097250911</v>
      </c>
      <c r="D302">
        <f t="shared" ref="D302" si="334">D290+D301</f>
        <v>0.69570969027490825</v>
      </c>
      <c r="E302">
        <f t="shared" ref="E302" si="335">E290+E301</f>
        <v>0.11558710999704784</v>
      </c>
      <c r="F302">
        <f t="shared" ref="F302" si="336">F290+F301</f>
        <v>0.74155574714580896</v>
      </c>
    </row>
    <row r="303" spans="1:6" x14ac:dyDescent="0.25">
      <c r="B303" s="1" t="s">
        <v>5</v>
      </c>
      <c r="C303">
        <f t="shared" ref="C303:C366" si="337">C302+D302-2</f>
        <v>0</v>
      </c>
      <c r="D303">
        <f t="shared" ref="D303:D366" si="338">C302*E302+D302*F302-2/3</f>
        <v>0</v>
      </c>
      <c r="E303">
        <f t="shared" ref="E303:E366" si="339">C302*E302*E302+D302*F302*F302-2/5</f>
        <v>0</v>
      </c>
      <c r="F303">
        <f t="shared" ref="F303:F366" si="340">C302*E302*E302*E302+D302*F302*F302*F302-2/7</f>
        <v>0</v>
      </c>
    </row>
    <row r="304" spans="1:6" x14ac:dyDescent="0.25">
      <c r="C304" s="2">
        <f>1</f>
        <v>1</v>
      </c>
      <c r="D304" s="3">
        <f>1</f>
        <v>1</v>
      </c>
      <c r="E304" s="3">
        <f>0</f>
        <v>0</v>
      </c>
      <c r="F304" s="4">
        <f>0</f>
        <v>0</v>
      </c>
    </row>
    <row r="305" spans="1:6" x14ac:dyDescent="0.25">
      <c r="B305" s="1" t="s">
        <v>6</v>
      </c>
      <c r="C305" s="5">
        <f t="shared" ref="C305:D305" si="341">E302</f>
        <v>0.11558710999704784</v>
      </c>
      <c r="D305" s="6">
        <f t="shared" si="341"/>
        <v>0.74155574714580896</v>
      </c>
      <c r="E305" s="6">
        <f t="shared" ref="E305:F305" si="342">C302</f>
        <v>1.3042903097250911</v>
      </c>
      <c r="F305" s="7">
        <f t="shared" si="342"/>
        <v>0.69570969027490825</v>
      </c>
    </row>
    <row r="306" spans="1:6" x14ac:dyDescent="0.25">
      <c r="C306" s="5">
        <f t="shared" ref="C306:D306" si="343">E302*E302</f>
        <v>1.3360379997469637E-2</v>
      </c>
      <c r="D306" s="6">
        <f t="shared" si="343"/>
        <v>0.54990492612497899</v>
      </c>
      <c r="E306" s="6">
        <f t="shared" ref="E306:F306" si="344">2*C302*E302</f>
        <v>0.30151829499655541</v>
      </c>
      <c r="F306" s="7">
        <f t="shared" si="344"/>
        <v>1.0318150383367779</v>
      </c>
    </row>
    <row r="307" spans="1:6" x14ac:dyDescent="0.25">
      <c r="C307" s="8">
        <f t="shared" ref="C307:D307" si="345">E302*E302*E302</f>
        <v>1.5442877123698806E-3</v>
      </c>
      <c r="D307" s="9">
        <f t="shared" si="345"/>
        <v>0.40778515835176965</v>
      </c>
      <c r="E307" s="9">
        <f t="shared" ref="E307:F307" si="346">3*C302*E302*E302</f>
        <v>5.2277442494833758E-2</v>
      </c>
      <c r="F307" s="10">
        <f t="shared" si="346"/>
        <v>1.1477225575051662</v>
      </c>
    </row>
    <row r="309" spans="1:6" x14ac:dyDescent="0.25">
      <c r="C309" s="2" cm="1">
        <f t="array" ref="C309:F312">MINVERSE(C304:F307)</f>
        <v>0.88511742324582021</v>
      </c>
      <c r="D309" s="3">
        <v>2.0967504154494629</v>
      </c>
      <c r="E309" s="3">
        <v>-10.483752077247326</v>
      </c>
      <c r="F309" s="4">
        <v>8.1540293934145929</v>
      </c>
    </row>
    <row r="310" spans="1:6" x14ac:dyDescent="0.25">
      <c r="B310" s="1" t="s">
        <v>7</v>
      </c>
      <c r="C310" s="5">
        <v>0.1148825767541798</v>
      </c>
      <c r="D310" s="6">
        <v>-2.0967504154494629</v>
      </c>
      <c r="E310" s="6">
        <v>10.483752077247326</v>
      </c>
      <c r="F310" s="7">
        <v>-8.1540293934145929</v>
      </c>
    </row>
    <row r="311" spans="1:6" x14ac:dyDescent="0.25">
      <c r="C311" s="5">
        <v>-0.1243705626566651</v>
      </c>
      <c r="D311" s="6">
        <v>1.4114213554722104</v>
      </c>
      <c r="E311" s="6">
        <v>-3.1281471867166788</v>
      </c>
      <c r="F311" s="7">
        <v>1.9566835038981822</v>
      </c>
    </row>
    <row r="312" spans="1:6" x14ac:dyDescent="0.25">
      <c r="C312" s="8">
        <v>-3.6343723057620445E-2</v>
      </c>
      <c r="D312" s="9">
        <v>0.67786435881350382</v>
      </c>
      <c r="E312" s="9">
        <v>-3.5682813847118955</v>
      </c>
      <c r="F312" s="10">
        <v>3.6683164961018226</v>
      </c>
    </row>
    <row r="313" spans="1:6" x14ac:dyDescent="0.25">
      <c r="B313" s="1" t="s">
        <v>8</v>
      </c>
      <c r="C313" cm="1">
        <f t="array" ref="C313:F313">-TRANSPOSE(MMULT(_xlfn.ANCHORARRAY(C309),TRANSPOSE(C303:F303)))</f>
        <v>0</v>
      </c>
      <c r="D313">
        <v>0</v>
      </c>
      <c r="E313">
        <v>0</v>
      </c>
      <c r="F313">
        <v>0</v>
      </c>
    </row>
    <row r="314" spans="1:6" x14ac:dyDescent="0.25">
      <c r="A314">
        <v>27</v>
      </c>
      <c r="B314" s="1" t="s">
        <v>4</v>
      </c>
      <c r="C314">
        <f t="shared" ref="C314" si="347">C302+C313</f>
        <v>1.3042903097250911</v>
      </c>
      <c r="D314">
        <f t="shared" ref="D314" si="348">D302+D313</f>
        <v>0.69570969027490825</v>
      </c>
      <c r="E314">
        <f t="shared" ref="E314" si="349">E302+E313</f>
        <v>0.11558710999704784</v>
      </c>
      <c r="F314">
        <f t="shared" ref="F314" si="350">F302+F313</f>
        <v>0.74155574714580896</v>
      </c>
    </row>
    <row r="315" spans="1:6" x14ac:dyDescent="0.25">
      <c r="B315" s="1" t="s">
        <v>5</v>
      </c>
      <c r="C315">
        <f t="shared" ref="C315:C378" si="351">C314+D314-2</f>
        <v>0</v>
      </c>
      <c r="D315">
        <f t="shared" ref="D315:D378" si="352">C314*E314+D314*F314-2/3</f>
        <v>0</v>
      </c>
      <c r="E315">
        <f t="shared" ref="E315:E378" si="353">C314*E314*E314+D314*F314*F314-2/5</f>
        <v>0</v>
      </c>
      <c r="F315">
        <f t="shared" ref="F315:F378" si="354">C314*E314*E314*E314+D314*F314*F314*F314-2/7</f>
        <v>0</v>
      </c>
    </row>
    <row r="316" spans="1:6" x14ac:dyDescent="0.25">
      <c r="C316" s="2">
        <f>1</f>
        <v>1</v>
      </c>
      <c r="D316" s="3">
        <f>1</f>
        <v>1</v>
      </c>
      <c r="E316" s="3">
        <f>0</f>
        <v>0</v>
      </c>
      <c r="F316" s="4">
        <f>0</f>
        <v>0</v>
      </c>
    </row>
    <row r="317" spans="1:6" x14ac:dyDescent="0.25">
      <c r="B317" s="1" t="s">
        <v>6</v>
      </c>
      <c r="C317" s="5">
        <f t="shared" ref="C317:D317" si="355">E314</f>
        <v>0.11558710999704784</v>
      </c>
      <c r="D317" s="6">
        <f t="shared" si="355"/>
        <v>0.74155574714580896</v>
      </c>
      <c r="E317" s="6">
        <f t="shared" ref="E317:F317" si="356">C314</f>
        <v>1.3042903097250911</v>
      </c>
      <c r="F317" s="7">
        <f t="shared" si="356"/>
        <v>0.69570969027490825</v>
      </c>
    </row>
    <row r="318" spans="1:6" x14ac:dyDescent="0.25">
      <c r="C318" s="5">
        <f t="shared" ref="C318:D318" si="357">E314*E314</f>
        <v>1.3360379997469637E-2</v>
      </c>
      <c r="D318" s="6">
        <f t="shared" si="357"/>
        <v>0.54990492612497899</v>
      </c>
      <c r="E318" s="6">
        <f t="shared" ref="E318:F318" si="358">2*C314*E314</f>
        <v>0.30151829499655541</v>
      </c>
      <c r="F318" s="7">
        <f t="shared" si="358"/>
        <v>1.0318150383367779</v>
      </c>
    </row>
    <row r="319" spans="1:6" x14ac:dyDescent="0.25">
      <c r="C319" s="8">
        <f t="shared" ref="C319:D319" si="359">E314*E314*E314</f>
        <v>1.5442877123698806E-3</v>
      </c>
      <c r="D319" s="9">
        <f t="shared" si="359"/>
        <v>0.40778515835176965</v>
      </c>
      <c r="E319" s="9">
        <f t="shared" ref="E319:F319" si="360">3*C314*E314*E314</f>
        <v>5.2277442494833758E-2</v>
      </c>
      <c r="F319" s="10">
        <f t="shared" si="360"/>
        <v>1.1477225575051662</v>
      </c>
    </row>
    <row r="321" spans="1:6" x14ac:dyDescent="0.25">
      <c r="C321" s="2" cm="1">
        <f t="array" ref="C321:F324">MINVERSE(C316:F319)</f>
        <v>0.88511742324582021</v>
      </c>
      <c r="D321" s="3">
        <v>2.0967504154494629</v>
      </c>
      <c r="E321" s="3">
        <v>-10.483752077247326</v>
      </c>
      <c r="F321" s="4">
        <v>8.1540293934145929</v>
      </c>
    </row>
    <row r="322" spans="1:6" x14ac:dyDescent="0.25">
      <c r="B322" s="1" t="s">
        <v>7</v>
      </c>
      <c r="C322" s="5">
        <v>0.1148825767541798</v>
      </c>
      <c r="D322" s="6">
        <v>-2.0967504154494629</v>
      </c>
      <c r="E322" s="6">
        <v>10.483752077247326</v>
      </c>
      <c r="F322" s="7">
        <v>-8.1540293934145929</v>
      </c>
    </row>
    <row r="323" spans="1:6" x14ac:dyDescent="0.25">
      <c r="C323" s="5">
        <v>-0.1243705626566651</v>
      </c>
      <c r="D323" s="6">
        <v>1.4114213554722104</v>
      </c>
      <c r="E323" s="6">
        <v>-3.1281471867166788</v>
      </c>
      <c r="F323" s="7">
        <v>1.9566835038981822</v>
      </c>
    </row>
    <row r="324" spans="1:6" x14ac:dyDescent="0.25">
      <c r="C324" s="8">
        <v>-3.6343723057620445E-2</v>
      </c>
      <c r="D324" s="9">
        <v>0.67786435881350382</v>
      </c>
      <c r="E324" s="9">
        <v>-3.5682813847118955</v>
      </c>
      <c r="F324" s="10">
        <v>3.6683164961018226</v>
      </c>
    </row>
    <row r="325" spans="1:6" x14ac:dyDescent="0.25">
      <c r="B325" s="1" t="s">
        <v>8</v>
      </c>
      <c r="C325" cm="1">
        <f t="array" ref="C325:F325">-TRANSPOSE(MMULT(_xlfn.ANCHORARRAY(C321),TRANSPOSE(C315:F315)))</f>
        <v>0</v>
      </c>
      <c r="D325">
        <v>0</v>
      </c>
      <c r="E325">
        <v>0</v>
      </c>
      <c r="F325">
        <v>0</v>
      </c>
    </row>
    <row r="326" spans="1:6" x14ac:dyDescent="0.25">
      <c r="A326">
        <v>28</v>
      </c>
      <c r="B326" s="1" t="s">
        <v>4</v>
      </c>
      <c r="C326">
        <f t="shared" ref="C326" si="361">C314+C325</f>
        <v>1.3042903097250911</v>
      </c>
      <c r="D326">
        <f t="shared" ref="D326" si="362">D314+D325</f>
        <v>0.69570969027490825</v>
      </c>
      <c r="E326">
        <f t="shared" ref="E326" si="363">E314+E325</f>
        <v>0.11558710999704784</v>
      </c>
      <c r="F326">
        <f t="shared" ref="F326" si="364">F314+F325</f>
        <v>0.74155574714580896</v>
      </c>
    </row>
    <row r="327" spans="1:6" x14ac:dyDescent="0.25">
      <c r="B327" s="1" t="s">
        <v>5</v>
      </c>
      <c r="C327">
        <f t="shared" ref="C327:C390" si="365">C326+D326-2</f>
        <v>0</v>
      </c>
      <c r="D327">
        <f t="shared" ref="D327:D390" si="366">C326*E326+D326*F326-2/3</f>
        <v>0</v>
      </c>
      <c r="E327">
        <f t="shared" ref="E327:E390" si="367">C326*E326*E326+D326*F326*F326-2/5</f>
        <v>0</v>
      </c>
      <c r="F327">
        <f t="shared" ref="F327:F390" si="368">C326*E326*E326*E326+D326*F326*F326*F326-2/7</f>
        <v>0</v>
      </c>
    </row>
    <row r="328" spans="1:6" x14ac:dyDescent="0.25">
      <c r="C328" s="2">
        <f>1</f>
        <v>1</v>
      </c>
      <c r="D328" s="3">
        <f>1</f>
        <v>1</v>
      </c>
      <c r="E328" s="3">
        <f>0</f>
        <v>0</v>
      </c>
      <c r="F328" s="4">
        <f>0</f>
        <v>0</v>
      </c>
    </row>
    <row r="329" spans="1:6" x14ac:dyDescent="0.25">
      <c r="B329" s="1" t="s">
        <v>6</v>
      </c>
      <c r="C329" s="5">
        <f t="shared" ref="C329:D329" si="369">E326</f>
        <v>0.11558710999704784</v>
      </c>
      <c r="D329" s="6">
        <f t="shared" si="369"/>
        <v>0.74155574714580896</v>
      </c>
      <c r="E329" s="6">
        <f t="shared" ref="E329:F329" si="370">C326</f>
        <v>1.3042903097250911</v>
      </c>
      <c r="F329" s="7">
        <f t="shared" si="370"/>
        <v>0.69570969027490825</v>
      </c>
    </row>
    <row r="330" spans="1:6" x14ac:dyDescent="0.25">
      <c r="C330" s="5">
        <f t="shared" ref="C330:D330" si="371">E326*E326</f>
        <v>1.3360379997469637E-2</v>
      </c>
      <c r="D330" s="6">
        <f t="shared" si="371"/>
        <v>0.54990492612497899</v>
      </c>
      <c r="E330" s="6">
        <f t="shared" ref="E330:F330" si="372">2*C326*E326</f>
        <v>0.30151829499655541</v>
      </c>
      <c r="F330" s="7">
        <f t="shared" si="372"/>
        <v>1.0318150383367779</v>
      </c>
    </row>
    <row r="331" spans="1:6" x14ac:dyDescent="0.25">
      <c r="C331" s="8">
        <f t="shared" ref="C331:D331" si="373">E326*E326*E326</f>
        <v>1.5442877123698806E-3</v>
      </c>
      <c r="D331" s="9">
        <f t="shared" si="373"/>
        <v>0.40778515835176965</v>
      </c>
      <c r="E331" s="9">
        <f t="shared" ref="E331:F331" si="374">3*C326*E326*E326</f>
        <v>5.2277442494833758E-2</v>
      </c>
      <c r="F331" s="10">
        <f t="shared" si="374"/>
        <v>1.1477225575051662</v>
      </c>
    </row>
    <row r="333" spans="1:6" x14ac:dyDescent="0.25">
      <c r="C333" s="2" cm="1">
        <f t="array" ref="C333:F336">MINVERSE(C328:F331)</f>
        <v>0.88511742324582021</v>
      </c>
      <c r="D333" s="3">
        <v>2.0967504154494629</v>
      </c>
      <c r="E333" s="3">
        <v>-10.483752077247326</v>
      </c>
      <c r="F333" s="4">
        <v>8.1540293934145929</v>
      </c>
    </row>
    <row r="334" spans="1:6" x14ac:dyDescent="0.25">
      <c r="B334" s="1" t="s">
        <v>7</v>
      </c>
      <c r="C334" s="5">
        <v>0.1148825767541798</v>
      </c>
      <c r="D334" s="6">
        <v>-2.0967504154494629</v>
      </c>
      <c r="E334" s="6">
        <v>10.483752077247326</v>
      </c>
      <c r="F334" s="7">
        <v>-8.1540293934145929</v>
      </c>
    </row>
    <row r="335" spans="1:6" x14ac:dyDescent="0.25">
      <c r="C335" s="5">
        <v>-0.1243705626566651</v>
      </c>
      <c r="D335" s="6">
        <v>1.4114213554722104</v>
      </c>
      <c r="E335" s="6">
        <v>-3.1281471867166788</v>
      </c>
      <c r="F335" s="7">
        <v>1.9566835038981822</v>
      </c>
    </row>
    <row r="336" spans="1:6" x14ac:dyDescent="0.25">
      <c r="C336" s="8">
        <v>-3.6343723057620445E-2</v>
      </c>
      <c r="D336" s="9">
        <v>0.67786435881350382</v>
      </c>
      <c r="E336" s="9">
        <v>-3.5682813847118955</v>
      </c>
      <c r="F336" s="10">
        <v>3.6683164961018226</v>
      </c>
    </row>
    <row r="337" spans="1:6" x14ac:dyDescent="0.25">
      <c r="B337" s="1" t="s">
        <v>8</v>
      </c>
      <c r="C337" cm="1">
        <f t="array" ref="C337:F337">-TRANSPOSE(MMULT(_xlfn.ANCHORARRAY(C333),TRANSPOSE(C327:F327)))</f>
        <v>0</v>
      </c>
      <c r="D337">
        <v>0</v>
      </c>
      <c r="E337">
        <v>0</v>
      </c>
      <c r="F337">
        <v>0</v>
      </c>
    </row>
    <row r="338" spans="1:6" x14ac:dyDescent="0.25">
      <c r="A338">
        <v>29</v>
      </c>
      <c r="B338" s="1" t="s">
        <v>4</v>
      </c>
      <c r="C338">
        <f t="shared" ref="C338" si="375">C326+C337</f>
        <v>1.3042903097250911</v>
      </c>
      <c r="D338">
        <f t="shared" ref="D338" si="376">D326+D337</f>
        <v>0.69570969027490825</v>
      </c>
      <c r="E338">
        <f t="shared" ref="E338" si="377">E326+E337</f>
        <v>0.11558710999704784</v>
      </c>
      <c r="F338">
        <f t="shared" ref="F338" si="378">F326+F337</f>
        <v>0.74155574714580896</v>
      </c>
    </row>
    <row r="339" spans="1:6" x14ac:dyDescent="0.25">
      <c r="B339" s="1" t="s">
        <v>5</v>
      </c>
      <c r="C339">
        <f t="shared" ref="C339:C370" si="379">C338+D338-2</f>
        <v>0</v>
      </c>
      <c r="D339">
        <f t="shared" ref="D339:D370" si="380">C338*E338+D338*F338-2/3</f>
        <v>0</v>
      </c>
      <c r="E339">
        <f t="shared" ref="E339:E370" si="381">C338*E338*E338+D338*F338*F338-2/5</f>
        <v>0</v>
      </c>
      <c r="F339">
        <f t="shared" ref="F339:F370" si="382">C338*E338*E338*E338+D338*F338*F338*F338-2/7</f>
        <v>0</v>
      </c>
    </row>
    <row r="340" spans="1:6" x14ac:dyDescent="0.25">
      <c r="C340" s="2">
        <f>1</f>
        <v>1</v>
      </c>
      <c r="D340" s="3">
        <f>1</f>
        <v>1</v>
      </c>
      <c r="E340" s="3">
        <f>0</f>
        <v>0</v>
      </c>
      <c r="F340" s="4">
        <f>0</f>
        <v>0</v>
      </c>
    </row>
    <row r="341" spans="1:6" x14ac:dyDescent="0.25">
      <c r="B341" s="1" t="s">
        <v>6</v>
      </c>
      <c r="C341" s="5">
        <f t="shared" ref="C341:D341" si="383">E338</f>
        <v>0.11558710999704784</v>
      </c>
      <c r="D341" s="6">
        <f t="shared" si="383"/>
        <v>0.74155574714580896</v>
      </c>
      <c r="E341" s="6">
        <f t="shared" ref="E341:F341" si="384">C338</f>
        <v>1.3042903097250911</v>
      </c>
      <c r="F341" s="7">
        <f t="shared" si="384"/>
        <v>0.69570969027490825</v>
      </c>
    </row>
    <row r="342" spans="1:6" x14ac:dyDescent="0.25">
      <c r="C342" s="5">
        <f t="shared" ref="C342:D342" si="385">E338*E338</f>
        <v>1.3360379997469637E-2</v>
      </c>
      <c r="D342" s="6">
        <f t="shared" si="385"/>
        <v>0.54990492612497899</v>
      </c>
      <c r="E342" s="6">
        <f t="shared" ref="E342:F342" si="386">2*C338*E338</f>
        <v>0.30151829499655541</v>
      </c>
      <c r="F342" s="7">
        <f t="shared" si="386"/>
        <v>1.0318150383367779</v>
      </c>
    </row>
    <row r="343" spans="1:6" x14ac:dyDescent="0.25">
      <c r="C343" s="8">
        <f t="shared" ref="C343:D343" si="387">E338*E338*E338</f>
        <v>1.5442877123698806E-3</v>
      </c>
      <c r="D343" s="9">
        <f t="shared" si="387"/>
        <v>0.40778515835176965</v>
      </c>
      <c r="E343" s="9">
        <f t="shared" ref="E343:F343" si="388">3*C338*E338*E338</f>
        <v>5.2277442494833758E-2</v>
      </c>
      <c r="F343" s="10">
        <f t="shared" si="388"/>
        <v>1.1477225575051662</v>
      </c>
    </row>
    <row r="345" spans="1:6" x14ac:dyDescent="0.25">
      <c r="C345" s="2" cm="1">
        <f t="array" ref="C345:F348">MINVERSE(C340:F343)</f>
        <v>0.88511742324582021</v>
      </c>
      <c r="D345" s="3">
        <v>2.0967504154494629</v>
      </c>
      <c r="E345" s="3">
        <v>-10.483752077247326</v>
      </c>
      <c r="F345" s="4">
        <v>8.1540293934145929</v>
      </c>
    </row>
    <row r="346" spans="1:6" x14ac:dyDescent="0.25">
      <c r="B346" s="1" t="s">
        <v>7</v>
      </c>
      <c r="C346" s="5">
        <v>0.1148825767541798</v>
      </c>
      <c r="D346" s="6">
        <v>-2.0967504154494629</v>
      </c>
      <c r="E346" s="6">
        <v>10.483752077247326</v>
      </c>
      <c r="F346" s="7">
        <v>-8.1540293934145929</v>
      </c>
    </row>
    <row r="347" spans="1:6" x14ac:dyDescent="0.25">
      <c r="C347" s="5">
        <v>-0.1243705626566651</v>
      </c>
      <c r="D347" s="6">
        <v>1.4114213554722104</v>
      </c>
      <c r="E347" s="6">
        <v>-3.1281471867166788</v>
      </c>
      <c r="F347" s="7">
        <v>1.9566835038981822</v>
      </c>
    </row>
    <row r="348" spans="1:6" x14ac:dyDescent="0.25">
      <c r="C348" s="8">
        <v>-3.6343723057620445E-2</v>
      </c>
      <c r="D348" s="9">
        <v>0.67786435881350382</v>
      </c>
      <c r="E348" s="9">
        <v>-3.5682813847118955</v>
      </c>
      <c r="F348" s="10">
        <v>3.6683164961018226</v>
      </c>
    </row>
    <row r="349" spans="1:6" x14ac:dyDescent="0.25">
      <c r="B349" s="1" t="s">
        <v>8</v>
      </c>
      <c r="C349" cm="1">
        <f t="array" ref="C349:F349">-TRANSPOSE(MMULT(_xlfn.ANCHORARRAY(C345),TRANSPOSE(C339:F339)))</f>
        <v>0</v>
      </c>
      <c r="D349">
        <v>0</v>
      </c>
      <c r="E349">
        <v>0</v>
      </c>
      <c r="F349">
        <v>0</v>
      </c>
    </row>
    <row r="350" spans="1:6" x14ac:dyDescent="0.25">
      <c r="A350">
        <v>30</v>
      </c>
      <c r="B350" s="1" t="s">
        <v>4</v>
      </c>
      <c r="C350">
        <f t="shared" ref="C350" si="389">C338+C349</f>
        <v>1.3042903097250911</v>
      </c>
      <c r="D350">
        <f t="shared" ref="D350" si="390">D338+D349</f>
        <v>0.69570969027490825</v>
      </c>
      <c r="E350">
        <f t="shared" ref="E350" si="391">E338+E349</f>
        <v>0.11558710999704784</v>
      </c>
      <c r="F350">
        <f t="shared" ref="F350" si="392">F338+F349</f>
        <v>0.74155574714580896</v>
      </c>
    </row>
    <row r="351" spans="1:6" x14ac:dyDescent="0.25">
      <c r="B351" s="1" t="s">
        <v>5</v>
      </c>
      <c r="C351">
        <f t="shared" ref="C351:C382" si="393">C350+D350-2</f>
        <v>0</v>
      </c>
      <c r="D351">
        <f t="shared" ref="D351:D382" si="394">C350*E350+D350*F350-2/3</f>
        <v>0</v>
      </c>
      <c r="E351">
        <f t="shared" ref="E351:E382" si="395">C350*E350*E350+D350*F350*F350-2/5</f>
        <v>0</v>
      </c>
      <c r="F351">
        <f t="shared" ref="F351:F382" si="396">C350*E350*E350*E350+D350*F350*F350*F350-2/7</f>
        <v>0</v>
      </c>
    </row>
    <row r="352" spans="1:6" x14ac:dyDescent="0.25">
      <c r="C352" s="2">
        <f>1</f>
        <v>1</v>
      </c>
      <c r="D352" s="3">
        <f>1</f>
        <v>1</v>
      </c>
      <c r="E352" s="3">
        <f>0</f>
        <v>0</v>
      </c>
      <c r="F352" s="4">
        <f>0</f>
        <v>0</v>
      </c>
    </row>
    <row r="353" spans="1:6" x14ac:dyDescent="0.25">
      <c r="B353" s="1" t="s">
        <v>6</v>
      </c>
      <c r="C353" s="5">
        <f t="shared" ref="C353:D353" si="397">E350</f>
        <v>0.11558710999704784</v>
      </c>
      <c r="D353" s="6">
        <f t="shared" si="397"/>
        <v>0.74155574714580896</v>
      </c>
      <c r="E353" s="6">
        <f t="shared" ref="E353:F353" si="398">C350</f>
        <v>1.3042903097250911</v>
      </c>
      <c r="F353" s="7">
        <f t="shared" si="398"/>
        <v>0.69570969027490825</v>
      </c>
    </row>
    <row r="354" spans="1:6" x14ac:dyDescent="0.25">
      <c r="C354" s="5">
        <f t="shared" ref="C354:D354" si="399">E350*E350</f>
        <v>1.3360379997469637E-2</v>
      </c>
      <c r="D354" s="6">
        <f t="shared" si="399"/>
        <v>0.54990492612497899</v>
      </c>
      <c r="E354" s="6">
        <f t="shared" ref="E354:F354" si="400">2*C350*E350</f>
        <v>0.30151829499655541</v>
      </c>
      <c r="F354" s="7">
        <f t="shared" si="400"/>
        <v>1.0318150383367779</v>
      </c>
    </row>
    <row r="355" spans="1:6" x14ac:dyDescent="0.25">
      <c r="C355" s="8">
        <f t="shared" ref="C355:D355" si="401">E350*E350*E350</f>
        <v>1.5442877123698806E-3</v>
      </c>
      <c r="D355" s="9">
        <f t="shared" si="401"/>
        <v>0.40778515835176965</v>
      </c>
      <c r="E355" s="9">
        <f t="shared" ref="E355:F355" si="402">3*C350*E350*E350</f>
        <v>5.2277442494833758E-2</v>
      </c>
      <c r="F355" s="10">
        <f t="shared" si="402"/>
        <v>1.1477225575051662</v>
      </c>
    </row>
    <row r="357" spans="1:6" x14ac:dyDescent="0.25">
      <c r="C357" s="2" cm="1">
        <f t="array" ref="C357:F360">MINVERSE(C352:F355)</f>
        <v>0.88511742324582021</v>
      </c>
      <c r="D357" s="3">
        <v>2.0967504154494629</v>
      </c>
      <c r="E357" s="3">
        <v>-10.483752077247326</v>
      </c>
      <c r="F357" s="4">
        <v>8.1540293934145929</v>
      </c>
    </row>
    <row r="358" spans="1:6" x14ac:dyDescent="0.25">
      <c r="B358" s="1" t="s">
        <v>7</v>
      </c>
      <c r="C358" s="5">
        <v>0.1148825767541798</v>
      </c>
      <c r="D358" s="6">
        <v>-2.0967504154494629</v>
      </c>
      <c r="E358" s="6">
        <v>10.483752077247326</v>
      </c>
      <c r="F358" s="7">
        <v>-8.1540293934145929</v>
      </c>
    </row>
    <row r="359" spans="1:6" x14ac:dyDescent="0.25">
      <c r="C359" s="5">
        <v>-0.1243705626566651</v>
      </c>
      <c r="D359" s="6">
        <v>1.4114213554722104</v>
      </c>
      <c r="E359" s="6">
        <v>-3.1281471867166788</v>
      </c>
      <c r="F359" s="7">
        <v>1.9566835038981822</v>
      </c>
    </row>
    <row r="360" spans="1:6" x14ac:dyDescent="0.25">
      <c r="C360" s="8">
        <v>-3.6343723057620445E-2</v>
      </c>
      <c r="D360" s="9">
        <v>0.67786435881350382</v>
      </c>
      <c r="E360" s="9">
        <v>-3.5682813847118955</v>
      </c>
      <c r="F360" s="10">
        <v>3.6683164961018226</v>
      </c>
    </row>
    <row r="361" spans="1:6" x14ac:dyDescent="0.25">
      <c r="B361" s="1" t="s">
        <v>8</v>
      </c>
      <c r="C361" cm="1">
        <f t="array" ref="C361:F361">-TRANSPOSE(MMULT(_xlfn.ANCHORARRAY(C357),TRANSPOSE(C351:F351)))</f>
        <v>0</v>
      </c>
      <c r="D361">
        <v>0</v>
      </c>
      <c r="E361">
        <v>0</v>
      </c>
      <c r="F361">
        <v>0</v>
      </c>
    </row>
    <row r="362" spans="1:6" x14ac:dyDescent="0.25">
      <c r="A362">
        <v>31</v>
      </c>
      <c r="B362" s="1" t="s">
        <v>4</v>
      </c>
      <c r="C362">
        <f t="shared" ref="C362" si="403">C350+C361</f>
        <v>1.3042903097250911</v>
      </c>
      <c r="D362">
        <f t="shared" ref="D362" si="404">D350+D361</f>
        <v>0.69570969027490825</v>
      </c>
      <c r="E362">
        <f t="shared" ref="E362" si="405">E350+E361</f>
        <v>0.11558710999704784</v>
      </c>
      <c r="F362">
        <f t="shared" ref="F362" si="406">F350+F361</f>
        <v>0.74155574714580896</v>
      </c>
    </row>
    <row r="363" spans="1:6" x14ac:dyDescent="0.25">
      <c r="B363" s="1" t="s">
        <v>5</v>
      </c>
      <c r="C363">
        <f t="shared" ref="C363:C394" si="407">C362+D362-2</f>
        <v>0</v>
      </c>
      <c r="D363">
        <f t="shared" ref="D363:D394" si="408">C362*E362+D362*F362-2/3</f>
        <v>0</v>
      </c>
      <c r="E363">
        <f t="shared" ref="E363:E394" si="409">C362*E362*E362+D362*F362*F362-2/5</f>
        <v>0</v>
      </c>
      <c r="F363">
        <f t="shared" ref="F363:F394" si="410">C362*E362*E362*E362+D362*F362*F362*F362-2/7</f>
        <v>0</v>
      </c>
    </row>
    <row r="364" spans="1:6" x14ac:dyDescent="0.25">
      <c r="C364" s="2">
        <f>1</f>
        <v>1</v>
      </c>
      <c r="D364" s="3">
        <f>1</f>
        <v>1</v>
      </c>
      <c r="E364" s="3">
        <f>0</f>
        <v>0</v>
      </c>
      <c r="F364" s="4">
        <f>0</f>
        <v>0</v>
      </c>
    </row>
    <row r="365" spans="1:6" x14ac:dyDescent="0.25">
      <c r="B365" s="1" t="s">
        <v>6</v>
      </c>
      <c r="C365" s="5">
        <f t="shared" ref="C365:D365" si="411">E362</f>
        <v>0.11558710999704784</v>
      </c>
      <c r="D365" s="6">
        <f t="shared" si="411"/>
        <v>0.74155574714580896</v>
      </c>
      <c r="E365" s="6">
        <f t="shared" ref="E365:F365" si="412">C362</f>
        <v>1.3042903097250911</v>
      </c>
      <c r="F365" s="7">
        <f t="shared" si="412"/>
        <v>0.69570969027490825</v>
      </c>
    </row>
    <row r="366" spans="1:6" x14ac:dyDescent="0.25">
      <c r="C366" s="5">
        <f t="shared" ref="C366:D366" si="413">E362*E362</f>
        <v>1.3360379997469637E-2</v>
      </c>
      <c r="D366" s="6">
        <f t="shared" si="413"/>
        <v>0.54990492612497899</v>
      </c>
      <c r="E366" s="6">
        <f t="shared" ref="E366:F366" si="414">2*C362*E362</f>
        <v>0.30151829499655541</v>
      </c>
      <c r="F366" s="7">
        <f t="shared" si="414"/>
        <v>1.0318150383367779</v>
      </c>
    </row>
    <row r="367" spans="1:6" x14ac:dyDescent="0.25">
      <c r="C367" s="8">
        <f t="shared" ref="C367:D367" si="415">E362*E362*E362</f>
        <v>1.5442877123698806E-3</v>
      </c>
      <c r="D367" s="9">
        <f t="shared" si="415"/>
        <v>0.40778515835176965</v>
      </c>
      <c r="E367" s="9">
        <f t="shared" ref="E367:F367" si="416">3*C362*E362*E362</f>
        <v>5.2277442494833758E-2</v>
      </c>
      <c r="F367" s="10">
        <f t="shared" si="416"/>
        <v>1.1477225575051662</v>
      </c>
    </row>
    <row r="369" spans="1:6" x14ac:dyDescent="0.25">
      <c r="C369" s="2" cm="1">
        <f t="array" ref="C369:F372">MINVERSE(C364:F367)</f>
        <v>0.88511742324582021</v>
      </c>
      <c r="D369" s="3">
        <v>2.0967504154494629</v>
      </c>
      <c r="E369" s="3">
        <v>-10.483752077247326</v>
      </c>
      <c r="F369" s="4">
        <v>8.1540293934145929</v>
      </c>
    </row>
    <row r="370" spans="1:6" x14ac:dyDescent="0.25">
      <c r="B370" s="1" t="s">
        <v>7</v>
      </c>
      <c r="C370" s="5">
        <v>0.1148825767541798</v>
      </c>
      <c r="D370" s="6">
        <v>-2.0967504154494629</v>
      </c>
      <c r="E370" s="6">
        <v>10.483752077247326</v>
      </c>
      <c r="F370" s="7">
        <v>-8.1540293934145929</v>
      </c>
    </row>
    <row r="371" spans="1:6" x14ac:dyDescent="0.25">
      <c r="C371" s="5">
        <v>-0.1243705626566651</v>
      </c>
      <c r="D371" s="6">
        <v>1.4114213554722104</v>
      </c>
      <c r="E371" s="6">
        <v>-3.1281471867166788</v>
      </c>
      <c r="F371" s="7">
        <v>1.9566835038981822</v>
      </c>
    </row>
    <row r="372" spans="1:6" x14ac:dyDescent="0.25">
      <c r="C372" s="8">
        <v>-3.6343723057620445E-2</v>
      </c>
      <c r="D372" s="9">
        <v>0.67786435881350382</v>
      </c>
      <c r="E372" s="9">
        <v>-3.5682813847118955</v>
      </c>
      <c r="F372" s="10">
        <v>3.6683164961018226</v>
      </c>
    </row>
    <row r="373" spans="1:6" x14ac:dyDescent="0.25">
      <c r="B373" s="1" t="s">
        <v>8</v>
      </c>
      <c r="C373" cm="1">
        <f t="array" ref="C373:F373">-TRANSPOSE(MMULT(_xlfn.ANCHORARRAY(C369),TRANSPOSE(C363:F363)))</f>
        <v>0</v>
      </c>
      <c r="D373">
        <v>0</v>
      </c>
      <c r="E373">
        <v>0</v>
      </c>
      <c r="F373">
        <v>0</v>
      </c>
    </row>
    <row r="374" spans="1:6" x14ac:dyDescent="0.25">
      <c r="A374">
        <v>32</v>
      </c>
      <c r="B374" s="1" t="s">
        <v>4</v>
      </c>
      <c r="C374">
        <f t="shared" ref="C374" si="417">C362+C373</f>
        <v>1.3042903097250911</v>
      </c>
      <c r="D374">
        <f t="shared" ref="D374" si="418">D362+D373</f>
        <v>0.69570969027490825</v>
      </c>
      <c r="E374">
        <f t="shared" ref="E374" si="419">E362+E373</f>
        <v>0.11558710999704784</v>
      </c>
      <c r="F374">
        <f t="shared" ref="F374" si="420">F362+F373</f>
        <v>0.74155574714580896</v>
      </c>
    </row>
    <row r="375" spans="1:6" x14ac:dyDescent="0.25">
      <c r="B375" s="1" t="s">
        <v>5</v>
      </c>
      <c r="C375">
        <f t="shared" ref="C375:C406" si="421">C374+D374-2</f>
        <v>0</v>
      </c>
      <c r="D375">
        <f t="shared" ref="D375:D406" si="422">C374*E374+D374*F374-2/3</f>
        <v>0</v>
      </c>
      <c r="E375">
        <f t="shared" ref="E375:E406" si="423">C374*E374*E374+D374*F374*F374-2/5</f>
        <v>0</v>
      </c>
      <c r="F375">
        <f t="shared" ref="F375:F406" si="424">C374*E374*E374*E374+D374*F374*F374*F374-2/7</f>
        <v>0</v>
      </c>
    </row>
    <row r="376" spans="1:6" x14ac:dyDescent="0.25">
      <c r="C376" s="2">
        <f>1</f>
        <v>1</v>
      </c>
      <c r="D376" s="3">
        <f>1</f>
        <v>1</v>
      </c>
      <c r="E376" s="3">
        <f>0</f>
        <v>0</v>
      </c>
      <c r="F376" s="4">
        <f>0</f>
        <v>0</v>
      </c>
    </row>
    <row r="377" spans="1:6" x14ac:dyDescent="0.25">
      <c r="B377" s="1" t="s">
        <v>6</v>
      </c>
      <c r="C377" s="5">
        <f t="shared" ref="C377:D377" si="425">E374</f>
        <v>0.11558710999704784</v>
      </c>
      <c r="D377" s="6">
        <f t="shared" si="425"/>
        <v>0.74155574714580896</v>
      </c>
      <c r="E377" s="6">
        <f t="shared" ref="E377:F377" si="426">C374</f>
        <v>1.3042903097250911</v>
      </c>
      <c r="F377" s="7">
        <f t="shared" si="426"/>
        <v>0.69570969027490825</v>
      </c>
    </row>
    <row r="378" spans="1:6" x14ac:dyDescent="0.25">
      <c r="C378" s="5">
        <f t="shared" ref="C378:D378" si="427">E374*E374</f>
        <v>1.3360379997469637E-2</v>
      </c>
      <c r="D378" s="6">
        <f t="shared" si="427"/>
        <v>0.54990492612497899</v>
      </c>
      <c r="E378" s="6">
        <f t="shared" ref="E378:F378" si="428">2*C374*E374</f>
        <v>0.30151829499655541</v>
      </c>
      <c r="F378" s="7">
        <f t="shared" si="428"/>
        <v>1.0318150383367779</v>
      </c>
    </row>
    <row r="379" spans="1:6" x14ac:dyDescent="0.25">
      <c r="C379" s="8">
        <f t="shared" ref="C379:D379" si="429">E374*E374*E374</f>
        <v>1.5442877123698806E-3</v>
      </c>
      <c r="D379" s="9">
        <f t="shared" si="429"/>
        <v>0.40778515835176965</v>
      </c>
      <c r="E379" s="9">
        <f t="shared" ref="E379:F379" si="430">3*C374*E374*E374</f>
        <v>5.2277442494833758E-2</v>
      </c>
      <c r="F379" s="10">
        <f t="shared" si="430"/>
        <v>1.1477225575051662</v>
      </c>
    </row>
    <row r="381" spans="1:6" x14ac:dyDescent="0.25">
      <c r="C381" s="2" cm="1">
        <f t="array" ref="C381:F384">MINVERSE(C376:F379)</f>
        <v>0.88511742324582021</v>
      </c>
      <c r="D381" s="3">
        <v>2.0967504154494629</v>
      </c>
      <c r="E381" s="3">
        <v>-10.483752077247326</v>
      </c>
      <c r="F381" s="4">
        <v>8.1540293934145929</v>
      </c>
    </row>
    <row r="382" spans="1:6" x14ac:dyDescent="0.25">
      <c r="B382" s="1" t="s">
        <v>7</v>
      </c>
      <c r="C382" s="5">
        <v>0.1148825767541798</v>
      </c>
      <c r="D382" s="6">
        <v>-2.0967504154494629</v>
      </c>
      <c r="E382" s="6">
        <v>10.483752077247326</v>
      </c>
      <c r="F382" s="7">
        <v>-8.1540293934145929</v>
      </c>
    </row>
    <row r="383" spans="1:6" x14ac:dyDescent="0.25">
      <c r="C383" s="5">
        <v>-0.1243705626566651</v>
      </c>
      <c r="D383" s="6">
        <v>1.4114213554722104</v>
      </c>
      <c r="E383" s="6">
        <v>-3.1281471867166788</v>
      </c>
      <c r="F383" s="7">
        <v>1.9566835038981822</v>
      </c>
    </row>
    <row r="384" spans="1:6" x14ac:dyDescent="0.25">
      <c r="C384" s="8">
        <v>-3.6343723057620445E-2</v>
      </c>
      <c r="D384" s="9">
        <v>0.67786435881350382</v>
      </c>
      <c r="E384" s="9">
        <v>-3.5682813847118955</v>
      </c>
      <c r="F384" s="10">
        <v>3.6683164961018226</v>
      </c>
    </row>
    <row r="385" spans="1:6" x14ac:dyDescent="0.25">
      <c r="B385" s="1" t="s">
        <v>8</v>
      </c>
      <c r="C385" cm="1">
        <f t="array" ref="C385:F385">-TRANSPOSE(MMULT(_xlfn.ANCHORARRAY(C381),TRANSPOSE(C375:F375)))</f>
        <v>0</v>
      </c>
      <c r="D385">
        <v>0</v>
      </c>
      <c r="E385">
        <v>0</v>
      </c>
      <c r="F385">
        <v>0</v>
      </c>
    </row>
    <row r="386" spans="1:6" x14ac:dyDescent="0.25">
      <c r="A386">
        <v>33</v>
      </c>
      <c r="B386" s="1" t="s">
        <v>4</v>
      </c>
      <c r="C386">
        <f t="shared" ref="C386" si="431">C374+C385</f>
        <v>1.3042903097250911</v>
      </c>
      <c r="D386">
        <f t="shared" ref="D386" si="432">D374+D385</f>
        <v>0.69570969027490825</v>
      </c>
      <c r="E386">
        <f t="shared" ref="E386" si="433">E374+E385</f>
        <v>0.11558710999704784</v>
      </c>
      <c r="F386">
        <f t="shared" ref="F386" si="434">F374+F385</f>
        <v>0.74155574714580896</v>
      </c>
    </row>
    <row r="387" spans="1:6" x14ac:dyDescent="0.25">
      <c r="B387" s="1" t="s">
        <v>5</v>
      </c>
      <c r="C387">
        <f t="shared" ref="C387:C418" si="435">C386+D386-2</f>
        <v>0</v>
      </c>
      <c r="D387">
        <f t="shared" ref="D387:D418" si="436">C386*E386+D386*F386-2/3</f>
        <v>0</v>
      </c>
      <c r="E387">
        <f t="shared" ref="E387:E418" si="437">C386*E386*E386+D386*F386*F386-2/5</f>
        <v>0</v>
      </c>
      <c r="F387">
        <f t="shared" ref="F387:F418" si="438">C386*E386*E386*E386+D386*F386*F386*F386-2/7</f>
        <v>0</v>
      </c>
    </row>
    <row r="388" spans="1:6" x14ac:dyDescent="0.25">
      <c r="C388" s="2">
        <f>1</f>
        <v>1</v>
      </c>
      <c r="D388" s="3">
        <f>1</f>
        <v>1</v>
      </c>
      <c r="E388" s="3">
        <f>0</f>
        <v>0</v>
      </c>
      <c r="F388" s="4">
        <f>0</f>
        <v>0</v>
      </c>
    </row>
    <row r="389" spans="1:6" x14ac:dyDescent="0.25">
      <c r="B389" s="1" t="s">
        <v>6</v>
      </c>
      <c r="C389" s="5">
        <f t="shared" ref="C389:D389" si="439">E386</f>
        <v>0.11558710999704784</v>
      </c>
      <c r="D389" s="6">
        <f t="shared" si="439"/>
        <v>0.74155574714580896</v>
      </c>
      <c r="E389" s="6">
        <f t="shared" ref="E389:F389" si="440">C386</f>
        <v>1.3042903097250911</v>
      </c>
      <c r="F389" s="7">
        <f t="shared" si="440"/>
        <v>0.69570969027490825</v>
      </c>
    </row>
    <row r="390" spans="1:6" x14ac:dyDescent="0.25">
      <c r="C390" s="5">
        <f t="shared" ref="C390:D390" si="441">E386*E386</f>
        <v>1.3360379997469637E-2</v>
      </c>
      <c r="D390" s="6">
        <f t="shared" si="441"/>
        <v>0.54990492612497899</v>
      </c>
      <c r="E390" s="6">
        <f t="shared" ref="E390:F390" si="442">2*C386*E386</f>
        <v>0.30151829499655541</v>
      </c>
      <c r="F390" s="7">
        <f t="shared" si="442"/>
        <v>1.0318150383367779</v>
      </c>
    </row>
    <row r="391" spans="1:6" x14ac:dyDescent="0.25">
      <c r="C391" s="8">
        <f t="shared" ref="C391:D391" si="443">E386*E386*E386</f>
        <v>1.5442877123698806E-3</v>
      </c>
      <c r="D391" s="9">
        <f t="shared" si="443"/>
        <v>0.40778515835176965</v>
      </c>
      <c r="E391" s="9">
        <f t="shared" ref="E391:F391" si="444">3*C386*E386*E386</f>
        <v>5.2277442494833758E-2</v>
      </c>
      <c r="F391" s="10">
        <f t="shared" si="444"/>
        <v>1.1477225575051662</v>
      </c>
    </row>
    <row r="393" spans="1:6" x14ac:dyDescent="0.25">
      <c r="C393" s="2" cm="1">
        <f t="array" ref="C393:F396">MINVERSE(C388:F391)</f>
        <v>0.88511742324582021</v>
      </c>
      <c r="D393" s="3">
        <v>2.0967504154494629</v>
      </c>
      <c r="E393" s="3">
        <v>-10.483752077247326</v>
      </c>
      <c r="F393" s="4">
        <v>8.1540293934145929</v>
      </c>
    </row>
    <row r="394" spans="1:6" x14ac:dyDescent="0.25">
      <c r="B394" s="1" t="s">
        <v>7</v>
      </c>
      <c r="C394" s="5">
        <v>0.1148825767541798</v>
      </c>
      <c r="D394" s="6">
        <v>-2.0967504154494629</v>
      </c>
      <c r="E394" s="6">
        <v>10.483752077247326</v>
      </c>
      <c r="F394" s="7">
        <v>-8.1540293934145929</v>
      </c>
    </row>
    <row r="395" spans="1:6" x14ac:dyDescent="0.25">
      <c r="C395" s="5">
        <v>-0.1243705626566651</v>
      </c>
      <c r="D395" s="6">
        <v>1.4114213554722104</v>
      </c>
      <c r="E395" s="6">
        <v>-3.1281471867166788</v>
      </c>
      <c r="F395" s="7">
        <v>1.9566835038981822</v>
      </c>
    </row>
    <row r="396" spans="1:6" x14ac:dyDescent="0.25">
      <c r="C396" s="8">
        <v>-3.6343723057620445E-2</v>
      </c>
      <c r="D396" s="9">
        <v>0.67786435881350382</v>
      </c>
      <c r="E396" s="9">
        <v>-3.5682813847118955</v>
      </c>
      <c r="F396" s="10">
        <v>3.6683164961018226</v>
      </c>
    </row>
    <row r="397" spans="1:6" x14ac:dyDescent="0.25">
      <c r="B397" s="1" t="s">
        <v>8</v>
      </c>
      <c r="C397" cm="1">
        <f t="array" ref="C397:F397">-TRANSPOSE(MMULT(_xlfn.ANCHORARRAY(C393),TRANSPOSE(C387:F387)))</f>
        <v>0</v>
      </c>
      <c r="D397">
        <v>0</v>
      </c>
      <c r="E397">
        <v>0</v>
      </c>
      <c r="F397">
        <v>0</v>
      </c>
    </row>
    <row r="398" spans="1:6" x14ac:dyDescent="0.25">
      <c r="A398">
        <v>34</v>
      </c>
      <c r="B398" s="1" t="s">
        <v>4</v>
      </c>
      <c r="C398">
        <f t="shared" ref="C398" si="445">C386+C397</f>
        <v>1.3042903097250911</v>
      </c>
      <c r="D398">
        <f t="shared" ref="D398" si="446">D386+D397</f>
        <v>0.69570969027490825</v>
      </c>
      <c r="E398">
        <f t="shared" ref="E398" si="447">E386+E397</f>
        <v>0.11558710999704784</v>
      </c>
      <c r="F398">
        <f t="shared" ref="F398" si="448">F386+F397</f>
        <v>0.74155574714580896</v>
      </c>
    </row>
    <row r="399" spans="1:6" x14ac:dyDescent="0.25">
      <c r="B399" s="1" t="s">
        <v>5</v>
      </c>
      <c r="C399">
        <f t="shared" ref="C399:C430" si="449">C398+D398-2</f>
        <v>0</v>
      </c>
      <c r="D399">
        <f t="shared" ref="D399:D430" si="450">C398*E398+D398*F398-2/3</f>
        <v>0</v>
      </c>
      <c r="E399">
        <f t="shared" ref="E399:E430" si="451">C398*E398*E398+D398*F398*F398-2/5</f>
        <v>0</v>
      </c>
      <c r="F399">
        <f t="shared" ref="F399:F430" si="452">C398*E398*E398*E398+D398*F398*F398*F398-2/7</f>
        <v>0</v>
      </c>
    </row>
    <row r="400" spans="1:6" x14ac:dyDescent="0.25">
      <c r="C400" s="2">
        <f>1</f>
        <v>1</v>
      </c>
      <c r="D400" s="3">
        <f>1</f>
        <v>1</v>
      </c>
      <c r="E400" s="3">
        <f>0</f>
        <v>0</v>
      </c>
      <c r="F400" s="4">
        <f>0</f>
        <v>0</v>
      </c>
    </row>
    <row r="401" spans="1:6" x14ac:dyDescent="0.25">
      <c r="B401" s="1" t="s">
        <v>6</v>
      </c>
      <c r="C401" s="5">
        <f t="shared" ref="C401:D401" si="453">E398</f>
        <v>0.11558710999704784</v>
      </c>
      <c r="D401" s="6">
        <f t="shared" si="453"/>
        <v>0.74155574714580896</v>
      </c>
      <c r="E401" s="6">
        <f t="shared" ref="E401:F401" si="454">C398</f>
        <v>1.3042903097250911</v>
      </c>
      <c r="F401" s="7">
        <f t="shared" si="454"/>
        <v>0.69570969027490825</v>
      </c>
    </row>
    <row r="402" spans="1:6" x14ac:dyDescent="0.25">
      <c r="C402" s="5">
        <f t="shared" ref="C402:D402" si="455">E398*E398</f>
        <v>1.3360379997469637E-2</v>
      </c>
      <c r="D402" s="6">
        <f t="shared" si="455"/>
        <v>0.54990492612497899</v>
      </c>
      <c r="E402" s="6">
        <f t="shared" ref="E402:F402" si="456">2*C398*E398</f>
        <v>0.30151829499655541</v>
      </c>
      <c r="F402" s="7">
        <f t="shared" si="456"/>
        <v>1.0318150383367779</v>
      </c>
    </row>
    <row r="403" spans="1:6" x14ac:dyDescent="0.25">
      <c r="C403" s="8">
        <f t="shared" ref="C403:D403" si="457">E398*E398*E398</f>
        <v>1.5442877123698806E-3</v>
      </c>
      <c r="D403" s="9">
        <f t="shared" si="457"/>
        <v>0.40778515835176965</v>
      </c>
      <c r="E403" s="9">
        <f t="shared" ref="E403:F403" si="458">3*C398*E398*E398</f>
        <v>5.2277442494833758E-2</v>
      </c>
      <c r="F403" s="10">
        <f t="shared" si="458"/>
        <v>1.1477225575051662</v>
      </c>
    </row>
    <row r="405" spans="1:6" x14ac:dyDescent="0.25">
      <c r="C405" s="2" cm="1">
        <f t="array" ref="C405:F408">MINVERSE(C400:F403)</f>
        <v>0.88511742324582021</v>
      </c>
      <c r="D405" s="3">
        <v>2.0967504154494629</v>
      </c>
      <c r="E405" s="3">
        <v>-10.483752077247326</v>
      </c>
      <c r="F405" s="4">
        <v>8.1540293934145929</v>
      </c>
    </row>
    <row r="406" spans="1:6" x14ac:dyDescent="0.25">
      <c r="B406" s="1" t="s">
        <v>7</v>
      </c>
      <c r="C406" s="5">
        <v>0.1148825767541798</v>
      </c>
      <c r="D406" s="6">
        <v>-2.0967504154494629</v>
      </c>
      <c r="E406" s="6">
        <v>10.483752077247326</v>
      </c>
      <c r="F406" s="7">
        <v>-8.1540293934145929</v>
      </c>
    </row>
    <row r="407" spans="1:6" x14ac:dyDescent="0.25">
      <c r="C407" s="5">
        <v>-0.1243705626566651</v>
      </c>
      <c r="D407" s="6">
        <v>1.4114213554722104</v>
      </c>
      <c r="E407" s="6">
        <v>-3.1281471867166788</v>
      </c>
      <c r="F407" s="7">
        <v>1.9566835038981822</v>
      </c>
    </row>
    <row r="408" spans="1:6" x14ac:dyDescent="0.25">
      <c r="C408" s="8">
        <v>-3.6343723057620445E-2</v>
      </c>
      <c r="D408" s="9">
        <v>0.67786435881350382</v>
      </c>
      <c r="E408" s="9">
        <v>-3.5682813847118955</v>
      </c>
      <c r="F408" s="10">
        <v>3.6683164961018226</v>
      </c>
    </row>
    <row r="409" spans="1:6" x14ac:dyDescent="0.25">
      <c r="B409" s="1" t="s">
        <v>8</v>
      </c>
      <c r="C409" cm="1">
        <f t="array" ref="C409:F409">-TRANSPOSE(MMULT(_xlfn.ANCHORARRAY(C405),TRANSPOSE(C399:F399)))</f>
        <v>0</v>
      </c>
      <c r="D409">
        <v>0</v>
      </c>
      <c r="E409">
        <v>0</v>
      </c>
      <c r="F409">
        <v>0</v>
      </c>
    </row>
    <row r="410" spans="1:6" x14ac:dyDescent="0.25">
      <c r="A410">
        <v>35</v>
      </c>
      <c r="B410" s="1" t="s">
        <v>4</v>
      </c>
      <c r="C410">
        <f t="shared" ref="C410" si="459">C398+C409</f>
        <v>1.3042903097250911</v>
      </c>
      <c r="D410">
        <f t="shared" ref="D410" si="460">D398+D409</f>
        <v>0.69570969027490825</v>
      </c>
      <c r="E410">
        <f t="shared" ref="E410" si="461">E398+E409</f>
        <v>0.11558710999704784</v>
      </c>
      <c r="F410">
        <f t="shared" ref="F410" si="462">F398+F409</f>
        <v>0.74155574714580896</v>
      </c>
    </row>
    <row r="411" spans="1:6" x14ac:dyDescent="0.25">
      <c r="B411" s="1" t="s">
        <v>5</v>
      </c>
      <c r="C411">
        <f t="shared" ref="C411:C442" si="463">C410+D410-2</f>
        <v>0</v>
      </c>
      <c r="D411">
        <f t="shared" ref="D411:D442" si="464">C410*E410+D410*F410-2/3</f>
        <v>0</v>
      </c>
      <c r="E411">
        <f t="shared" ref="E411:E442" si="465">C410*E410*E410+D410*F410*F410-2/5</f>
        <v>0</v>
      </c>
      <c r="F411">
        <f t="shared" ref="F411:F442" si="466">C410*E410*E410*E410+D410*F410*F410*F410-2/7</f>
        <v>0</v>
      </c>
    </row>
    <row r="412" spans="1:6" x14ac:dyDescent="0.25">
      <c r="C412" s="2">
        <f>1</f>
        <v>1</v>
      </c>
      <c r="D412" s="3">
        <f>1</f>
        <v>1</v>
      </c>
      <c r="E412" s="3">
        <f>0</f>
        <v>0</v>
      </c>
      <c r="F412" s="4">
        <f>0</f>
        <v>0</v>
      </c>
    </row>
    <row r="413" spans="1:6" x14ac:dyDescent="0.25">
      <c r="B413" s="1" t="s">
        <v>6</v>
      </c>
      <c r="C413" s="5">
        <f t="shared" ref="C413:D413" si="467">E410</f>
        <v>0.11558710999704784</v>
      </c>
      <c r="D413" s="6">
        <f t="shared" si="467"/>
        <v>0.74155574714580896</v>
      </c>
      <c r="E413" s="6">
        <f t="shared" ref="E413:F413" si="468">C410</f>
        <v>1.3042903097250911</v>
      </c>
      <c r="F413" s="7">
        <f t="shared" si="468"/>
        <v>0.69570969027490825</v>
      </c>
    </row>
    <row r="414" spans="1:6" x14ac:dyDescent="0.25">
      <c r="C414" s="5">
        <f t="shared" ref="C414:D414" si="469">E410*E410</f>
        <v>1.3360379997469637E-2</v>
      </c>
      <c r="D414" s="6">
        <f t="shared" si="469"/>
        <v>0.54990492612497899</v>
      </c>
      <c r="E414" s="6">
        <f t="shared" ref="E414:F414" si="470">2*C410*E410</f>
        <v>0.30151829499655541</v>
      </c>
      <c r="F414" s="7">
        <f t="shared" si="470"/>
        <v>1.0318150383367779</v>
      </c>
    </row>
    <row r="415" spans="1:6" x14ac:dyDescent="0.25">
      <c r="C415" s="8">
        <f t="shared" ref="C415:D415" si="471">E410*E410*E410</f>
        <v>1.5442877123698806E-3</v>
      </c>
      <c r="D415" s="9">
        <f t="shared" si="471"/>
        <v>0.40778515835176965</v>
      </c>
      <c r="E415" s="9">
        <f t="shared" ref="E415:F415" si="472">3*C410*E410*E410</f>
        <v>5.2277442494833758E-2</v>
      </c>
      <c r="F415" s="10">
        <f t="shared" si="472"/>
        <v>1.1477225575051662</v>
      </c>
    </row>
    <row r="417" spans="1:6" x14ac:dyDescent="0.25">
      <c r="C417" s="2" cm="1">
        <f t="array" ref="C417:F420">MINVERSE(C412:F415)</f>
        <v>0.88511742324582021</v>
      </c>
      <c r="D417" s="3">
        <v>2.0967504154494629</v>
      </c>
      <c r="E417" s="3">
        <v>-10.483752077247326</v>
      </c>
      <c r="F417" s="4">
        <v>8.1540293934145929</v>
      </c>
    </row>
    <row r="418" spans="1:6" x14ac:dyDescent="0.25">
      <c r="B418" s="1" t="s">
        <v>7</v>
      </c>
      <c r="C418" s="5">
        <v>0.1148825767541798</v>
      </c>
      <c r="D418" s="6">
        <v>-2.0967504154494629</v>
      </c>
      <c r="E418" s="6">
        <v>10.483752077247326</v>
      </c>
      <c r="F418" s="7">
        <v>-8.1540293934145929</v>
      </c>
    </row>
    <row r="419" spans="1:6" x14ac:dyDescent="0.25">
      <c r="C419" s="5">
        <v>-0.1243705626566651</v>
      </c>
      <c r="D419" s="6">
        <v>1.4114213554722104</v>
      </c>
      <c r="E419" s="6">
        <v>-3.1281471867166788</v>
      </c>
      <c r="F419" s="7">
        <v>1.9566835038981822</v>
      </c>
    </row>
    <row r="420" spans="1:6" x14ac:dyDescent="0.25">
      <c r="C420" s="8">
        <v>-3.6343723057620445E-2</v>
      </c>
      <c r="D420" s="9">
        <v>0.67786435881350382</v>
      </c>
      <c r="E420" s="9">
        <v>-3.5682813847118955</v>
      </c>
      <c r="F420" s="10">
        <v>3.6683164961018226</v>
      </c>
    </row>
    <row r="421" spans="1:6" x14ac:dyDescent="0.25">
      <c r="B421" s="1" t="s">
        <v>8</v>
      </c>
      <c r="C421" cm="1">
        <f t="array" ref="C421:F421">-TRANSPOSE(MMULT(_xlfn.ANCHORARRAY(C417),TRANSPOSE(C411:F411)))</f>
        <v>0</v>
      </c>
      <c r="D421">
        <v>0</v>
      </c>
      <c r="E421">
        <v>0</v>
      </c>
      <c r="F421">
        <v>0</v>
      </c>
    </row>
    <row r="422" spans="1:6" x14ac:dyDescent="0.25">
      <c r="A422">
        <v>36</v>
      </c>
      <c r="B422" s="1" t="s">
        <v>4</v>
      </c>
      <c r="C422">
        <f t="shared" ref="C422" si="473">C410+C421</f>
        <v>1.3042903097250911</v>
      </c>
      <c r="D422">
        <f t="shared" ref="D422" si="474">D410+D421</f>
        <v>0.69570969027490825</v>
      </c>
      <c r="E422">
        <f t="shared" ref="E422" si="475">E410+E421</f>
        <v>0.11558710999704784</v>
      </c>
      <c r="F422">
        <f t="shared" ref="F422" si="476">F410+F421</f>
        <v>0.74155574714580896</v>
      </c>
    </row>
    <row r="423" spans="1:6" x14ac:dyDescent="0.25">
      <c r="B423" s="1" t="s">
        <v>5</v>
      </c>
      <c r="C423">
        <f t="shared" ref="C423:C454" si="477">C422+D422-2</f>
        <v>0</v>
      </c>
      <c r="D423">
        <f t="shared" ref="D423:D454" si="478">C422*E422+D422*F422-2/3</f>
        <v>0</v>
      </c>
      <c r="E423">
        <f t="shared" ref="E423:E454" si="479">C422*E422*E422+D422*F422*F422-2/5</f>
        <v>0</v>
      </c>
      <c r="F423">
        <f t="shared" ref="F423:F454" si="480">C422*E422*E422*E422+D422*F422*F422*F422-2/7</f>
        <v>0</v>
      </c>
    </row>
    <row r="424" spans="1:6" x14ac:dyDescent="0.25">
      <c r="C424" s="2">
        <f>1</f>
        <v>1</v>
      </c>
      <c r="D424" s="3">
        <f>1</f>
        <v>1</v>
      </c>
      <c r="E424" s="3">
        <f>0</f>
        <v>0</v>
      </c>
      <c r="F424" s="4">
        <f>0</f>
        <v>0</v>
      </c>
    </row>
    <row r="425" spans="1:6" x14ac:dyDescent="0.25">
      <c r="B425" s="1" t="s">
        <v>6</v>
      </c>
      <c r="C425" s="5">
        <f t="shared" ref="C425:D425" si="481">E422</f>
        <v>0.11558710999704784</v>
      </c>
      <c r="D425" s="6">
        <f t="shared" si="481"/>
        <v>0.74155574714580896</v>
      </c>
      <c r="E425" s="6">
        <f t="shared" ref="E425:F425" si="482">C422</f>
        <v>1.3042903097250911</v>
      </c>
      <c r="F425" s="7">
        <f t="shared" si="482"/>
        <v>0.69570969027490825</v>
      </c>
    </row>
    <row r="426" spans="1:6" x14ac:dyDescent="0.25">
      <c r="C426" s="5">
        <f t="shared" ref="C426:D426" si="483">E422*E422</f>
        <v>1.3360379997469637E-2</v>
      </c>
      <c r="D426" s="6">
        <f t="shared" si="483"/>
        <v>0.54990492612497899</v>
      </c>
      <c r="E426" s="6">
        <f t="shared" ref="E426:F426" si="484">2*C422*E422</f>
        <v>0.30151829499655541</v>
      </c>
      <c r="F426" s="7">
        <f t="shared" si="484"/>
        <v>1.0318150383367779</v>
      </c>
    </row>
    <row r="427" spans="1:6" x14ac:dyDescent="0.25">
      <c r="C427" s="8">
        <f t="shared" ref="C427:D427" si="485">E422*E422*E422</f>
        <v>1.5442877123698806E-3</v>
      </c>
      <c r="D427" s="9">
        <f t="shared" si="485"/>
        <v>0.40778515835176965</v>
      </c>
      <c r="E427" s="9">
        <f t="shared" ref="E427:F427" si="486">3*C422*E422*E422</f>
        <v>5.2277442494833758E-2</v>
      </c>
      <c r="F427" s="10">
        <f t="shared" si="486"/>
        <v>1.1477225575051662</v>
      </c>
    </row>
    <row r="429" spans="1:6" x14ac:dyDescent="0.25">
      <c r="C429" s="2" cm="1">
        <f t="array" ref="C429:F432">MINVERSE(C424:F427)</f>
        <v>0.88511742324582021</v>
      </c>
      <c r="D429" s="3">
        <v>2.0967504154494629</v>
      </c>
      <c r="E429" s="3">
        <v>-10.483752077247326</v>
      </c>
      <c r="F429" s="4">
        <v>8.1540293934145929</v>
      </c>
    </row>
    <row r="430" spans="1:6" x14ac:dyDescent="0.25">
      <c r="B430" s="1" t="s">
        <v>7</v>
      </c>
      <c r="C430" s="5">
        <v>0.1148825767541798</v>
      </c>
      <c r="D430" s="6">
        <v>-2.0967504154494629</v>
      </c>
      <c r="E430" s="6">
        <v>10.483752077247326</v>
      </c>
      <c r="F430" s="7">
        <v>-8.1540293934145929</v>
      </c>
    </row>
    <row r="431" spans="1:6" x14ac:dyDescent="0.25">
      <c r="C431" s="5">
        <v>-0.1243705626566651</v>
      </c>
      <c r="D431" s="6">
        <v>1.4114213554722104</v>
      </c>
      <c r="E431" s="6">
        <v>-3.1281471867166788</v>
      </c>
      <c r="F431" s="7">
        <v>1.9566835038981822</v>
      </c>
    </row>
    <row r="432" spans="1:6" x14ac:dyDescent="0.25">
      <c r="C432" s="8">
        <v>-3.6343723057620445E-2</v>
      </c>
      <c r="D432" s="9">
        <v>0.67786435881350382</v>
      </c>
      <c r="E432" s="9">
        <v>-3.5682813847118955</v>
      </c>
      <c r="F432" s="10">
        <v>3.6683164961018226</v>
      </c>
    </row>
    <row r="433" spans="1:6" x14ac:dyDescent="0.25">
      <c r="B433" s="1" t="s">
        <v>8</v>
      </c>
      <c r="C433" cm="1">
        <f t="array" ref="C433:F433">-TRANSPOSE(MMULT(_xlfn.ANCHORARRAY(C429),TRANSPOSE(C423:F423)))</f>
        <v>0</v>
      </c>
      <c r="D433">
        <v>0</v>
      </c>
      <c r="E433">
        <v>0</v>
      </c>
      <c r="F433">
        <v>0</v>
      </c>
    </row>
    <row r="434" spans="1:6" x14ac:dyDescent="0.25">
      <c r="A434">
        <v>37</v>
      </c>
      <c r="B434" s="1" t="s">
        <v>4</v>
      </c>
      <c r="C434">
        <f t="shared" ref="C434" si="487">C422+C433</f>
        <v>1.3042903097250911</v>
      </c>
      <c r="D434">
        <f t="shared" ref="D434" si="488">D422+D433</f>
        <v>0.69570969027490825</v>
      </c>
      <c r="E434">
        <f t="shared" ref="E434" si="489">E422+E433</f>
        <v>0.11558710999704784</v>
      </c>
      <c r="F434">
        <f t="shared" ref="F434" si="490">F422+F433</f>
        <v>0.74155574714580896</v>
      </c>
    </row>
    <row r="435" spans="1:6" x14ac:dyDescent="0.25">
      <c r="B435" s="1" t="s">
        <v>5</v>
      </c>
      <c r="C435">
        <f t="shared" ref="C435:C466" si="491">C434+D434-2</f>
        <v>0</v>
      </c>
      <c r="D435">
        <f t="shared" ref="D435:D466" si="492">C434*E434+D434*F434-2/3</f>
        <v>0</v>
      </c>
      <c r="E435">
        <f t="shared" ref="E435:E466" si="493">C434*E434*E434+D434*F434*F434-2/5</f>
        <v>0</v>
      </c>
      <c r="F435">
        <f t="shared" ref="F435:F466" si="494">C434*E434*E434*E434+D434*F434*F434*F434-2/7</f>
        <v>0</v>
      </c>
    </row>
    <row r="436" spans="1:6" x14ac:dyDescent="0.25">
      <c r="C436" s="2">
        <f>1</f>
        <v>1</v>
      </c>
      <c r="D436" s="3">
        <f>1</f>
        <v>1</v>
      </c>
      <c r="E436" s="3">
        <f>0</f>
        <v>0</v>
      </c>
      <c r="F436" s="4">
        <f>0</f>
        <v>0</v>
      </c>
    </row>
    <row r="437" spans="1:6" x14ac:dyDescent="0.25">
      <c r="B437" s="1" t="s">
        <v>6</v>
      </c>
      <c r="C437" s="5">
        <f t="shared" ref="C437:D437" si="495">E434</f>
        <v>0.11558710999704784</v>
      </c>
      <c r="D437" s="6">
        <f t="shared" si="495"/>
        <v>0.74155574714580896</v>
      </c>
      <c r="E437" s="6">
        <f t="shared" ref="E437:F437" si="496">C434</f>
        <v>1.3042903097250911</v>
      </c>
      <c r="F437" s="7">
        <f t="shared" si="496"/>
        <v>0.69570969027490825</v>
      </c>
    </row>
    <row r="438" spans="1:6" x14ac:dyDescent="0.25">
      <c r="C438" s="5">
        <f t="shared" ref="C438:D438" si="497">E434*E434</f>
        <v>1.3360379997469637E-2</v>
      </c>
      <c r="D438" s="6">
        <f t="shared" si="497"/>
        <v>0.54990492612497899</v>
      </c>
      <c r="E438" s="6">
        <f t="shared" ref="E438:F438" si="498">2*C434*E434</f>
        <v>0.30151829499655541</v>
      </c>
      <c r="F438" s="7">
        <f t="shared" si="498"/>
        <v>1.0318150383367779</v>
      </c>
    </row>
    <row r="439" spans="1:6" x14ac:dyDescent="0.25">
      <c r="C439" s="8">
        <f t="shared" ref="C439:D439" si="499">E434*E434*E434</f>
        <v>1.5442877123698806E-3</v>
      </c>
      <c r="D439" s="9">
        <f t="shared" si="499"/>
        <v>0.40778515835176965</v>
      </c>
      <c r="E439" s="9">
        <f t="shared" ref="E439:F439" si="500">3*C434*E434*E434</f>
        <v>5.2277442494833758E-2</v>
      </c>
      <c r="F439" s="10">
        <f t="shared" si="500"/>
        <v>1.1477225575051662</v>
      </c>
    </row>
    <row r="441" spans="1:6" x14ac:dyDescent="0.25">
      <c r="C441" s="2" cm="1">
        <f t="array" ref="C441:F444">MINVERSE(C436:F439)</f>
        <v>0.88511742324582021</v>
      </c>
      <c r="D441" s="3">
        <v>2.0967504154494629</v>
      </c>
      <c r="E441" s="3">
        <v>-10.483752077247326</v>
      </c>
      <c r="F441" s="4">
        <v>8.1540293934145929</v>
      </c>
    </row>
    <row r="442" spans="1:6" x14ac:dyDescent="0.25">
      <c r="B442" s="1" t="s">
        <v>7</v>
      </c>
      <c r="C442" s="5">
        <v>0.1148825767541798</v>
      </c>
      <c r="D442" s="6">
        <v>-2.0967504154494629</v>
      </c>
      <c r="E442" s="6">
        <v>10.483752077247326</v>
      </c>
      <c r="F442" s="7">
        <v>-8.1540293934145929</v>
      </c>
    </row>
    <row r="443" spans="1:6" x14ac:dyDescent="0.25">
      <c r="C443" s="5">
        <v>-0.1243705626566651</v>
      </c>
      <c r="D443" s="6">
        <v>1.4114213554722104</v>
      </c>
      <c r="E443" s="6">
        <v>-3.1281471867166788</v>
      </c>
      <c r="F443" s="7">
        <v>1.9566835038981822</v>
      </c>
    </row>
    <row r="444" spans="1:6" x14ac:dyDescent="0.25">
      <c r="C444" s="8">
        <v>-3.6343723057620445E-2</v>
      </c>
      <c r="D444" s="9">
        <v>0.67786435881350382</v>
      </c>
      <c r="E444" s="9">
        <v>-3.5682813847118955</v>
      </c>
      <c r="F444" s="10">
        <v>3.6683164961018226</v>
      </c>
    </row>
    <row r="445" spans="1:6" x14ac:dyDescent="0.25">
      <c r="B445" s="1" t="s">
        <v>8</v>
      </c>
      <c r="C445" cm="1">
        <f t="array" ref="C445:F445">-TRANSPOSE(MMULT(_xlfn.ANCHORARRAY(C441),TRANSPOSE(C435:F435)))</f>
        <v>0</v>
      </c>
      <c r="D445">
        <v>0</v>
      </c>
      <c r="E445">
        <v>0</v>
      </c>
      <c r="F445">
        <v>0</v>
      </c>
    </row>
    <row r="446" spans="1:6" x14ac:dyDescent="0.25">
      <c r="A446">
        <v>38</v>
      </c>
      <c r="B446" s="1" t="s">
        <v>4</v>
      </c>
      <c r="C446">
        <f t="shared" ref="C446" si="501">C434+C445</f>
        <v>1.3042903097250911</v>
      </c>
      <c r="D446">
        <f t="shared" ref="D446" si="502">D434+D445</f>
        <v>0.69570969027490825</v>
      </c>
      <c r="E446">
        <f t="shared" ref="E446" si="503">E434+E445</f>
        <v>0.11558710999704784</v>
      </c>
      <c r="F446">
        <f t="shared" ref="F446" si="504">F434+F445</f>
        <v>0.74155574714580896</v>
      </c>
    </row>
    <row r="447" spans="1:6" x14ac:dyDescent="0.25">
      <c r="B447" s="1" t="s">
        <v>5</v>
      </c>
      <c r="C447">
        <f t="shared" ref="C447:C478" si="505">C446+D446-2</f>
        <v>0</v>
      </c>
      <c r="D447">
        <f t="shared" ref="D447:D478" si="506">C446*E446+D446*F446-2/3</f>
        <v>0</v>
      </c>
      <c r="E447">
        <f t="shared" ref="E447:E478" si="507">C446*E446*E446+D446*F446*F446-2/5</f>
        <v>0</v>
      </c>
      <c r="F447">
        <f t="shared" ref="F447:F478" si="508">C446*E446*E446*E446+D446*F446*F446*F446-2/7</f>
        <v>0</v>
      </c>
    </row>
    <row r="448" spans="1:6" x14ac:dyDescent="0.25">
      <c r="C448" s="2">
        <f>1</f>
        <v>1</v>
      </c>
      <c r="D448" s="3">
        <f>1</f>
        <v>1</v>
      </c>
      <c r="E448" s="3">
        <f>0</f>
        <v>0</v>
      </c>
      <c r="F448" s="4">
        <f>0</f>
        <v>0</v>
      </c>
    </row>
    <row r="449" spans="1:6" x14ac:dyDescent="0.25">
      <c r="B449" s="1" t="s">
        <v>6</v>
      </c>
      <c r="C449" s="5">
        <f t="shared" ref="C449:D449" si="509">E446</f>
        <v>0.11558710999704784</v>
      </c>
      <c r="D449" s="6">
        <f t="shared" si="509"/>
        <v>0.74155574714580896</v>
      </c>
      <c r="E449" s="6">
        <f t="shared" ref="E449:F449" si="510">C446</f>
        <v>1.3042903097250911</v>
      </c>
      <c r="F449" s="7">
        <f t="shared" si="510"/>
        <v>0.69570969027490825</v>
      </c>
    </row>
    <row r="450" spans="1:6" x14ac:dyDescent="0.25">
      <c r="C450" s="5">
        <f t="shared" ref="C450:D450" si="511">E446*E446</f>
        <v>1.3360379997469637E-2</v>
      </c>
      <c r="D450" s="6">
        <f t="shared" si="511"/>
        <v>0.54990492612497899</v>
      </c>
      <c r="E450" s="6">
        <f t="shared" ref="E450:F450" si="512">2*C446*E446</f>
        <v>0.30151829499655541</v>
      </c>
      <c r="F450" s="7">
        <f t="shared" si="512"/>
        <v>1.0318150383367779</v>
      </c>
    </row>
    <row r="451" spans="1:6" x14ac:dyDescent="0.25">
      <c r="C451" s="8">
        <f t="shared" ref="C451:D451" si="513">E446*E446*E446</f>
        <v>1.5442877123698806E-3</v>
      </c>
      <c r="D451" s="9">
        <f t="shared" si="513"/>
        <v>0.40778515835176965</v>
      </c>
      <c r="E451" s="9">
        <f t="shared" ref="E451:F451" si="514">3*C446*E446*E446</f>
        <v>5.2277442494833758E-2</v>
      </c>
      <c r="F451" s="10">
        <f t="shared" si="514"/>
        <v>1.1477225575051662</v>
      </c>
    </row>
    <row r="453" spans="1:6" x14ac:dyDescent="0.25">
      <c r="C453" s="2" cm="1">
        <f t="array" ref="C453:F456">MINVERSE(C448:F451)</f>
        <v>0.88511742324582021</v>
      </c>
      <c r="D453" s="3">
        <v>2.0967504154494629</v>
      </c>
      <c r="E453" s="3">
        <v>-10.483752077247326</v>
      </c>
      <c r="F453" s="4">
        <v>8.1540293934145929</v>
      </c>
    </row>
    <row r="454" spans="1:6" x14ac:dyDescent="0.25">
      <c r="B454" s="1" t="s">
        <v>7</v>
      </c>
      <c r="C454" s="5">
        <v>0.1148825767541798</v>
      </c>
      <c r="D454" s="6">
        <v>-2.0967504154494629</v>
      </c>
      <c r="E454" s="6">
        <v>10.483752077247326</v>
      </c>
      <c r="F454" s="7">
        <v>-8.1540293934145929</v>
      </c>
    </row>
    <row r="455" spans="1:6" x14ac:dyDescent="0.25">
      <c r="C455" s="5">
        <v>-0.1243705626566651</v>
      </c>
      <c r="D455" s="6">
        <v>1.4114213554722104</v>
      </c>
      <c r="E455" s="6">
        <v>-3.1281471867166788</v>
      </c>
      <c r="F455" s="7">
        <v>1.9566835038981822</v>
      </c>
    </row>
    <row r="456" spans="1:6" x14ac:dyDescent="0.25">
      <c r="C456" s="8">
        <v>-3.6343723057620445E-2</v>
      </c>
      <c r="D456" s="9">
        <v>0.67786435881350382</v>
      </c>
      <c r="E456" s="9">
        <v>-3.5682813847118955</v>
      </c>
      <c r="F456" s="10">
        <v>3.6683164961018226</v>
      </c>
    </row>
    <row r="457" spans="1:6" x14ac:dyDescent="0.25">
      <c r="B457" s="1" t="s">
        <v>8</v>
      </c>
      <c r="C457" cm="1">
        <f t="array" ref="C457:F457">-TRANSPOSE(MMULT(_xlfn.ANCHORARRAY(C453),TRANSPOSE(C447:F447)))</f>
        <v>0</v>
      </c>
      <c r="D457">
        <v>0</v>
      </c>
      <c r="E457">
        <v>0</v>
      </c>
      <c r="F457">
        <v>0</v>
      </c>
    </row>
    <row r="458" spans="1:6" x14ac:dyDescent="0.25">
      <c r="A458">
        <v>39</v>
      </c>
      <c r="B458" s="1" t="s">
        <v>4</v>
      </c>
      <c r="C458">
        <f t="shared" ref="C458" si="515">C446+C457</f>
        <v>1.3042903097250911</v>
      </c>
      <c r="D458">
        <f t="shared" ref="D458" si="516">D446+D457</f>
        <v>0.69570969027490825</v>
      </c>
      <c r="E458">
        <f t="shared" ref="E458" si="517">E446+E457</f>
        <v>0.11558710999704784</v>
      </c>
      <c r="F458">
        <f t="shared" ref="F458" si="518">F446+F457</f>
        <v>0.74155574714580896</v>
      </c>
    </row>
    <row r="459" spans="1:6" x14ac:dyDescent="0.25">
      <c r="B459" s="1" t="s">
        <v>5</v>
      </c>
      <c r="C459">
        <f t="shared" ref="C459:C490" si="519">C458+D458-2</f>
        <v>0</v>
      </c>
      <c r="D459">
        <f t="shared" ref="D459:D490" si="520">C458*E458+D458*F458-2/3</f>
        <v>0</v>
      </c>
      <c r="E459">
        <f t="shared" ref="E459:E490" si="521">C458*E458*E458+D458*F458*F458-2/5</f>
        <v>0</v>
      </c>
      <c r="F459">
        <f t="shared" ref="F459:F490" si="522">C458*E458*E458*E458+D458*F458*F458*F458-2/7</f>
        <v>0</v>
      </c>
    </row>
    <row r="460" spans="1:6" x14ac:dyDescent="0.25">
      <c r="C460" s="2">
        <f>1</f>
        <v>1</v>
      </c>
      <c r="D460" s="3">
        <f>1</f>
        <v>1</v>
      </c>
      <c r="E460" s="3">
        <f>0</f>
        <v>0</v>
      </c>
      <c r="F460" s="4">
        <f>0</f>
        <v>0</v>
      </c>
    </row>
    <row r="461" spans="1:6" x14ac:dyDescent="0.25">
      <c r="B461" s="1" t="s">
        <v>6</v>
      </c>
      <c r="C461" s="5">
        <f t="shared" ref="C461:D461" si="523">E458</f>
        <v>0.11558710999704784</v>
      </c>
      <c r="D461" s="6">
        <f t="shared" si="523"/>
        <v>0.74155574714580896</v>
      </c>
      <c r="E461" s="6">
        <f t="shared" ref="E461:F461" si="524">C458</f>
        <v>1.3042903097250911</v>
      </c>
      <c r="F461" s="7">
        <f t="shared" si="524"/>
        <v>0.69570969027490825</v>
      </c>
    </row>
    <row r="462" spans="1:6" x14ac:dyDescent="0.25">
      <c r="C462" s="5">
        <f t="shared" ref="C462:D462" si="525">E458*E458</f>
        <v>1.3360379997469637E-2</v>
      </c>
      <c r="D462" s="6">
        <f t="shared" si="525"/>
        <v>0.54990492612497899</v>
      </c>
      <c r="E462" s="6">
        <f t="shared" ref="E462:F462" si="526">2*C458*E458</f>
        <v>0.30151829499655541</v>
      </c>
      <c r="F462" s="7">
        <f t="shared" si="526"/>
        <v>1.0318150383367779</v>
      </c>
    </row>
    <row r="463" spans="1:6" x14ac:dyDescent="0.25">
      <c r="C463" s="8">
        <f t="shared" ref="C463:D463" si="527">E458*E458*E458</f>
        <v>1.5442877123698806E-3</v>
      </c>
      <c r="D463" s="9">
        <f t="shared" si="527"/>
        <v>0.40778515835176965</v>
      </c>
      <c r="E463" s="9">
        <f t="shared" ref="E463:F463" si="528">3*C458*E458*E458</f>
        <v>5.2277442494833758E-2</v>
      </c>
      <c r="F463" s="10">
        <f t="shared" si="528"/>
        <v>1.1477225575051662</v>
      </c>
    </row>
    <row r="465" spans="1:6" x14ac:dyDescent="0.25">
      <c r="C465" s="2" cm="1">
        <f t="array" ref="C465:F468">MINVERSE(C460:F463)</f>
        <v>0.88511742324582021</v>
      </c>
      <c r="D465" s="3">
        <v>2.0967504154494629</v>
      </c>
      <c r="E465" s="3">
        <v>-10.483752077247326</v>
      </c>
      <c r="F465" s="4">
        <v>8.1540293934145929</v>
      </c>
    </row>
    <row r="466" spans="1:6" x14ac:dyDescent="0.25">
      <c r="B466" s="1" t="s">
        <v>7</v>
      </c>
      <c r="C466" s="5">
        <v>0.1148825767541798</v>
      </c>
      <c r="D466" s="6">
        <v>-2.0967504154494629</v>
      </c>
      <c r="E466" s="6">
        <v>10.483752077247326</v>
      </c>
      <c r="F466" s="7">
        <v>-8.1540293934145929</v>
      </c>
    </row>
    <row r="467" spans="1:6" x14ac:dyDescent="0.25">
      <c r="C467" s="5">
        <v>-0.1243705626566651</v>
      </c>
      <c r="D467" s="6">
        <v>1.4114213554722104</v>
      </c>
      <c r="E467" s="6">
        <v>-3.1281471867166788</v>
      </c>
      <c r="F467" s="7">
        <v>1.9566835038981822</v>
      </c>
    </row>
    <row r="468" spans="1:6" x14ac:dyDescent="0.25">
      <c r="C468" s="8">
        <v>-3.6343723057620445E-2</v>
      </c>
      <c r="D468" s="9">
        <v>0.67786435881350382</v>
      </c>
      <c r="E468" s="9">
        <v>-3.5682813847118955</v>
      </c>
      <c r="F468" s="10">
        <v>3.6683164961018226</v>
      </c>
    </row>
    <row r="469" spans="1:6" x14ac:dyDescent="0.25">
      <c r="B469" s="1" t="s">
        <v>8</v>
      </c>
      <c r="C469" cm="1">
        <f t="array" ref="C469:F469">-TRANSPOSE(MMULT(_xlfn.ANCHORARRAY(C465),TRANSPOSE(C459:F459)))</f>
        <v>0</v>
      </c>
      <c r="D469">
        <v>0</v>
      </c>
      <c r="E469">
        <v>0</v>
      </c>
      <c r="F469">
        <v>0</v>
      </c>
    </row>
    <row r="470" spans="1:6" x14ac:dyDescent="0.25">
      <c r="A470">
        <v>40</v>
      </c>
      <c r="B470" s="1" t="s">
        <v>4</v>
      </c>
      <c r="C470">
        <f t="shared" ref="C470" si="529">C458+C469</f>
        <v>1.3042903097250911</v>
      </c>
      <c r="D470">
        <f t="shared" ref="D470" si="530">D458+D469</f>
        <v>0.69570969027490825</v>
      </c>
      <c r="E470">
        <f t="shared" ref="E470" si="531">E458+E469</f>
        <v>0.11558710999704784</v>
      </c>
      <c r="F470">
        <f t="shared" ref="F470" si="532">F458+F469</f>
        <v>0.74155574714580896</v>
      </c>
    </row>
    <row r="471" spans="1:6" x14ac:dyDescent="0.25">
      <c r="B471" s="1" t="s">
        <v>5</v>
      </c>
      <c r="C471">
        <f t="shared" ref="C471:C502" si="533">C470+D470-2</f>
        <v>0</v>
      </c>
      <c r="D471">
        <f t="shared" ref="D471:D502" si="534">C470*E470+D470*F470-2/3</f>
        <v>0</v>
      </c>
      <c r="E471">
        <f t="shared" ref="E471:E502" si="535">C470*E470*E470+D470*F470*F470-2/5</f>
        <v>0</v>
      </c>
      <c r="F471">
        <f t="shared" ref="F471:F502" si="536">C470*E470*E470*E470+D470*F470*F470*F470-2/7</f>
        <v>0</v>
      </c>
    </row>
    <row r="472" spans="1:6" x14ac:dyDescent="0.25">
      <c r="C472" s="2">
        <f>1</f>
        <v>1</v>
      </c>
      <c r="D472" s="3">
        <f>1</f>
        <v>1</v>
      </c>
      <c r="E472" s="3">
        <f>0</f>
        <v>0</v>
      </c>
      <c r="F472" s="4">
        <f>0</f>
        <v>0</v>
      </c>
    </row>
    <row r="473" spans="1:6" x14ac:dyDescent="0.25">
      <c r="B473" s="1" t="s">
        <v>6</v>
      </c>
      <c r="C473" s="5">
        <f t="shared" ref="C473:D473" si="537">E470</f>
        <v>0.11558710999704784</v>
      </c>
      <c r="D473" s="6">
        <f t="shared" si="537"/>
        <v>0.74155574714580896</v>
      </c>
      <c r="E473" s="6">
        <f t="shared" ref="E473:F473" si="538">C470</f>
        <v>1.3042903097250911</v>
      </c>
      <c r="F473" s="7">
        <f t="shared" si="538"/>
        <v>0.69570969027490825</v>
      </c>
    </row>
    <row r="474" spans="1:6" x14ac:dyDescent="0.25">
      <c r="C474" s="5">
        <f t="shared" ref="C474:D474" si="539">E470*E470</f>
        <v>1.3360379997469637E-2</v>
      </c>
      <c r="D474" s="6">
        <f t="shared" si="539"/>
        <v>0.54990492612497899</v>
      </c>
      <c r="E474" s="6">
        <f t="shared" ref="E474:F474" si="540">2*C470*E470</f>
        <v>0.30151829499655541</v>
      </c>
      <c r="F474" s="7">
        <f t="shared" si="540"/>
        <v>1.0318150383367779</v>
      </c>
    </row>
    <row r="475" spans="1:6" x14ac:dyDescent="0.25">
      <c r="C475" s="8">
        <f t="shared" ref="C475:D475" si="541">E470*E470*E470</f>
        <v>1.5442877123698806E-3</v>
      </c>
      <c r="D475" s="9">
        <f t="shared" si="541"/>
        <v>0.40778515835176965</v>
      </c>
      <c r="E475" s="9">
        <f t="shared" ref="E475:F475" si="542">3*C470*E470*E470</f>
        <v>5.2277442494833758E-2</v>
      </c>
      <c r="F475" s="10">
        <f t="shared" si="542"/>
        <v>1.1477225575051662</v>
      </c>
    </row>
    <row r="477" spans="1:6" x14ac:dyDescent="0.25">
      <c r="C477" s="2" cm="1">
        <f t="array" ref="C477:F480">MINVERSE(C472:F475)</f>
        <v>0.88511742324582021</v>
      </c>
      <c r="D477" s="3">
        <v>2.0967504154494629</v>
      </c>
      <c r="E477" s="3">
        <v>-10.483752077247326</v>
      </c>
      <c r="F477" s="4">
        <v>8.1540293934145929</v>
      </c>
    </row>
    <row r="478" spans="1:6" x14ac:dyDescent="0.25">
      <c r="B478" s="1" t="s">
        <v>7</v>
      </c>
      <c r="C478" s="5">
        <v>0.1148825767541798</v>
      </c>
      <c r="D478" s="6">
        <v>-2.0967504154494629</v>
      </c>
      <c r="E478" s="6">
        <v>10.483752077247326</v>
      </c>
      <c r="F478" s="7">
        <v>-8.1540293934145929</v>
      </c>
    </row>
    <row r="479" spans="1:6" x14ac:dyDescent="0.25">
      <c r="C479" s="5">
        <v>-0.1243705626566651</v>
      </c>
      <c r="D479" s="6">
        <v>1.4114213554722104</v>
      </c>
      <c r="E479" s="6">
        <v>-3.1281471867166788</v>
      </c>
      <c r="F479" s="7">
        <v>1.9566835038981822</v>
      </c>
    </row>
    <row r="480" spans="1:6" x14ac:dyDescent="0.25">
      <c r="C480" s="8">
        <v>-3.6343723057620445E-2</v>
      </c>
      <c r="D480" s="9">
        <v>0.67786435881350382</v>
      </c>
      <c r="E480" s="9">
        <v>-3.5682813847118955</v>
      </c>
      <c r="F480" s="10">
        <v>3.6683164961018226</v>
      </c>
    </row>
    <row r="481" spans="1:6" x14ac:dyDescent="0.25">
      <c r="B481" s="1" t="s">
        <v>8</v>
      </c>
      <c r="C481" cm="1">
        <f t="array" ref="C481:F481">-TRANSPOSE(MMULT(_xlfn.ANCHORARRAY(C477),TRANSPOSE(C471:F471)))</f>
        <v>0</v>
      </c>
      <c r="D481">
        <v>0</v>
      </c>
      <c r="E481">
        <v>0</v>
      </c>
      <c r="F481">
        <v>0</v>
      </c>
    </row>
    <row r="482" spans="1:6" x14ac:dyDescent="0.25">
      <c r="A482">
        <v>41</v>
      </c>
      <c r="B482" s="1" t="s">
        <v>4</v>
      </c>
      <c r="C482">
        <f t="shared" ref="C482" si="543">C470+C481</f>
        <v>1.3042903097250911</v>
      </c>
      <c r="D482">
        <f t="shared" ref="D482" si="544">D470+D481</f>
        <v>0.69570969027490825</v>
      </c>
      <c r="E482">
        <f t="shared" ref="E482" si="545">E470+E481</f>
        <v>0.11558710999704784</v>
      </c>
      <c r="F482">
        <f t="shared" ref="F482" si="546">F470+F481</f>
        <v>0.74155574714580896</v>
      </c>
    </row>
    <row r="483" spans="1:6" x14ac:dyDescent="0.25">
      <c r="B483" s="1" t="s">
        <v>5</v>
      </c>
      <c r="C483">
        <f t="shared" ref="C483:C530" si="547">C482+D482-2</f>
        <v>0</v>
      </c>
      <c r="D483">
        <f t="shared" ref="D483:D530" si="548">C482*E482+D482*F482-2/3</f>
        <v>0</v>
      </c>
      <c r="E483">
        <f t="shared" ref="E483:E530" si="549">C482*E482*E482+D482*F482*F482-2/5</f>
        <v>0</v>
      </c>
      <c r="F483">
        <f t="shared" ref="F483:F530" si="550">C482*E482*E482*E482+D482*F482*F482*F482-2/7</f>
        <v>0</v>
      </c>
    </row>
    <row r="484" spans="1:6" x14ac:dyDescent="0.25">
      <c r="C484" s="2">
        <f>1</f>
        <v>1</v>
      </c>
      <c r="D484" s="3">
        <f>1</f>
        <v>1</v>
      </c>
      <c r="E484" s="3">
        <f>0</f>
        <v>0</v>
      </c>
      <c r="F484" s="4">
        <f>0</f>
        <v>0</v>
      </c>
    </row>
    <row r="485" spans="1:6" x14ac:dyDescent="0.25">
      <c r="B485" s="1" t="s">
        <v>6</v>
      </c>
      <c r="C485" s="5">
        <f t="shared" ref="C485:D485" si="551">E482</f>
        <v>0.11558710999704784</v>
      </c>
      <c r="D485" s="6">
        <f t="shared" si="551"/>
        <v>0.74155574714580896</v>
      </c>
      <c r="E485" s="6">
        <f t="shared" ref="E485:F485" si="552">C482</f>
        <v>1.3042903097250911</v>
      </c>
      <c r="F485" s="7">
        <f t="shared" si="552"/>
        <v>0.69570969027490825</v>
      </c>
    </row>
    <row r="486" spans="1:6" x14ac:dyDescent="0.25">
      <c r="C486" s="5">
        <f t="shared" ref="C486:D486" si="553">E482*E482</f>
        <v>1.3360379997469637E-2</v>
      </c>
      <c r="D486" s="6">
        <f t="shared" si="553"/>
        <v>0.54990492612497899</v>
      </c>
      <c r="E486" s="6">
        <f t="shared" ref="E486:F486" si="554">2*C482*E482</f>
        <v>0.30151829499655541</v>
      </c>
      <c r="F486" s="7">
        <f t="shared" si="554"/>
        <v>1.0318150383367779</v>
      </c>
    </row>
    <row r="487" spans="1:6" x14ac:dyDescent="0.25">
      <c r="C487" s="8">
        <f t="shared" ref="C487:D487" si="555">E482*E482*E482</f>
        <v>1.5442877123698806E-3</v>
      </c>
      <c r="D487" s="9">
        <f t="shared" si="555"/>
        <v>0.40778515835176965</v>
      </c>
      <c r="E487" s="9">
        <f t="shared" ref="E487:F487" si="556">3*C482*E482*E482</f>
        <v>5.2277442494833758E-2</v>
      </c>
      <c r="F487" s="10">
        <f t="shared" si="556"/>
        <v>1.1477225575051662</v>
      </c>
    </row>
    <row r="489" spans="1:6" x14ac:dyDescent="0.25">
      <c r="C489" s="2" cm="1">
        <f t="array" ref="C489:F492">MINVERSE(C484:F487)</f>
        <v>0.88511742324582021</v>
      </c>
      <c r="D489" s="3">
        <v>2.0967504154494629</v>
      </c>
      <c r="E489" s="3">
        <v>-10.483752077247326</v>
      </c>
      <c r="F489" s="4">
        <v>8.1540293934145929</v>
      </c>
    </row>
    <row r="490" spans="1:6" x14ac:dyDescent="0.25">
      <c r="B490" s="1" t="s">
        <v>7</v>
      </c>
      <c r="C490" s="5">
        <v>0.1148825767541798</v>
      </c>
      <c r="D490" s="6">
        <v>-2.0967504154494629</v>
      </c>
      <c r="E490" s="6">
        <v>10.483752077247326</v>
      </c>
      <c r="F490" s="7">
        <v>-8.1540293934145929</v>
      </c>
    </row>
    <row r="491" spans="1:6" x14ac:dyDescent="0.25">
      <c r="C491" s="5">
        <v>-0.1243705626566651</v>
      </c>
      <c r="D491" s="6">
        <v>1.4114213554722104</v>
      </c>
      <c r="E491" s="6">
        <v>-3.1281471867166788</v>
      </c>
      <c r="F491" s="7">
        <v>1.9566835038981822</v>
      </c>
    </row>
    <row r="492" spans="1:6" x14ac:dyDescent="0.25">
      <c r="C492" s="8">
        <v>-3.6343723057620445E-2</v>
      </c>
      <c r="D492" s="9">
        <v>0.67786435881350382</v>
      </c>
      <c r="E492" s="9">
        <v>-3.5682813847118955</v>
      </c>
      <c r="F492" s="10">
        <v>3.6683164961018226</v>
      </c>
    </row>
    <row r="493" spans="1:6" x14ac:dyDescent="0.25">
      <c r="B493" s="1" t="s">
        <v>8</v>
      </c>
      <c r="C493" cm="1">
        <f t="array" ref="C493:F493">-TRANSPOSE(MMULT(_xlfn.ANCHORARRAY(C489),TRANSPOSE(C483:F483)))</f>
        <v>0</v>
      </c>
      <c r="D493">
        <v>0</v>
      </c>
      <c r="E493">
        <v>0</v>
      </c>
      <c r="F493">
        <v>0</v>
      </c>
    </row>
    <row r="494" spans="1:6" x14ac:dyDescent="0.25">
      <c r="A494">
        <v>42</v>
      </c>
      <c r="B494" s="1" t="s">
        <v>4</v>
      </c>
      <c r="C494">
        <f t="shared" ref="C494" si="557">C482+C493</f>
        <v>1.3042903097250911</v>
      </c>
      <c r="D494">
        <f t="shared" ref="D494" si="558">D482+D493</f>
        <v>0.69570969027490825</v>
      </c>
      <c r="E494">
        <f t="shared" ref="E494" si="559">E482+E493</f>
        <v>0.11558710999704784</v>
      </c>
      <c r="F494">
        <f t="shared" ref="F494" si="560">F482+F493</f>
        <v>0.74155574714580896</v>
      </c>
    </row>
    <row r="495" spans="1:6" x14ac:dyDescent="0.25">
      <c r="B495" s="1" t="s">
        <v>5</v>
      </c>
      <c r="C495">
        <f t="shared" ref="C495:C530" si="561">C494+D494-2</f>
        <v>0</v>
      </c>
      <c r="D495">
        <f t="shared" ref="D495:D530" si="562">C494*E494+D494*F494-2/3</f>
        <v>0</v>
      </c>
      <c r="E495">
        <f t="shared" ref="E495:E530" si="563">C494*E494*E494+D494*F494*F494-2/5</f>
        <v>0</v>
      </c>
      <c r="F495">
        <f t="shared" ref="F495:F530" si="564">C494*E494*E494*E494+D494*F494*F494*F494-2/7</f>
        <v>0</v>
      </c>
    </row>
    <row r="496" spans="1:6" x14ac:dyDescent="0.25">
      <c r="C496" s="2">
        <f>1</f>
        <v>1</v>
      </c>
      <c r="D496" s="3">
        <f>1</f>
        <v>1</v>
      </c>
      <c r="E496" s="3">
        <f>0</f>
        <v>0</v>
      </c>
      <c r="F496" s="4">
        <f>0</f>
        <v>0</v>
      </c>
    </row>
    <row r="497" spans="1:6" x14ac:dyDescent="0.25">
      <c r="B497" s="1" t="s">
        <v>6</v>
      </c>
      <c r="C497" s="5">
        <f t="shared" ref="C497:D497" si="565">E494</f>
        <v>0.11558710999704784</v>
      </c>
      <c r="D497" s="6">
        <f t="shared" si="565"/>
        <v>0.74155574714580896</v>
      </c>
      <c r="E497" s="6">
        <f t="shared" ref="E497:F497" si="566">C494</f>
        <v>1.3042903097250911</v>
      </c>
      <c r="F497" s="7">
        <f t="shared" si="566"/>
        <v>0.69570969027490825</v>
      </c>
    </row>
    <row r="498" spans="1:6" x14ac:dyDescent="0.25">
      <c r="C498" s="5">
        <f t="shared" ref="C498:D498" si="567">E494*E494</f>
        <v>1.3360379997469637E-2</v>
      </c>
      <c r="D498" s="6">
        <f t="shared" si="567"/>
        <v>0.54990492612497899</v>
      </c>
      <c r="E498" s="6">
        <f t="shared" ref="E498:F498" si="568">2*C494*E494</f>
        <v>0.30151829499655541</v>
      </c>
      <c r="F498" s="7">
        <f t="shared" si="568"/>
        <v>1.0318150383367779</v>
      </c>
    </row>
    <row r="499" spans="1:6" x14ac:dyDescent="0.25">
      <c r="C499" s="8">
        <f t="shared" ref="C499:D499" si="569">E494*E494*E494</f>
        <v>1.5442877123698806E-3</v>
      </c>
      <c r="D499" s="9">
        <f t="shared" si="569"/>
        <v>0.40778515835176965</v>
      </c>
      <c r="E499" s="9">
        <f t="shared" ref="E499:F499" si="570">3*C494*E494*E494</f>
        <v>5.2277442494833758E-2</v>
      </c>
      <c r="F499" s="10">
        <f t="shared" si="570"/>
        <v>1.1477225575051662</v>
      </c>
    </row>
    <row r="501" spans="1:6" x14ac:dyDescent="0.25">
      <c r="C501" s="2" cm="1">
        <f t="array" ref="C501:F504">MINVERSE(C496:F499)</f>
        <v>0.88511742324582021</v>
      </c>
      <c r="D501" s="3">
        <v>2.0967504154494629</v>
      </c>
      <c r="E501" s="3">
        <v>-10.483752077247326</v>
      </c>
      <c r="F501" s="4">
        <v>8.1540293934145929</v>
      </c>
    </row>
    <row r="502" spans="1:6" x14ac:dyDescent="0.25">
      <c r="B502" s="1" t="s">
        <v>7</v>
      </c>
      <c r="C502" s="5">
        <v>0.1148825767541798</v>
      </c>
      <c r="D502" s="6">
        <v>-2.0967504154494629</v>
      </c>
      <c r="E502" s="6">
        <v>10.483752077247326</v>
      </c>
      <c r="F502" s="7">
        <v>-8.1540293934145929</v>
      </c>
    </row>
    <row r="503" spans="1:6" x14ac:dyDescent="0.25">
      <c r="C503" s="5">
        <v>-0.1243705626566651</v>
      </c>
      <c r="D503" s="6">
        <v>1.4114213554722104</v>
      </c>
      <c r="E503" s="6">
        <v>-3.1281471867166788</v>
      </c>
      <c r="F503" s="7">
        <v>1.9566835038981822</v>
      </c>
    </row>
    <row r="504" spans="1:6" x14ac:dyDescent="0.25">
      <c r="C504" s="8">
        <v>-3.6343723057620445E-2</v>
      </c>
      <c r="D504" s="9">
        <v>0.67786435881350382</v>
      </c>
      <c r="E504" s="9">
        <v>-3.5682813847118955</v>
      </c>
      <c r="F504" s="10">
        <v>3.6683164961018226</v>
      </c>
    </row>
    <row r="505" spans="1:6" x14ac:dyDescent="0.25">
      <c r="B505" s="1" t="s">
        <v>8</v>
      </c>
      <c r="C505" cm="1">
        <f t="array" ref="C505:F505">-TRANSPOSE(MMULT(_xlfn.ANCHORARRAY(C501),TRANSPOSE(C495:F495)))</f>
        <v>0</v>
      </c>
      <c r="D505">
        <v>0</v>
      </c>
      <c r="E505">
        <v>0</v>
      </c>
      <c r="F505">
        <v>0</v>
      </c>
    </row>
    <row r="506" spans="1:6" x14ac:dyDescent="0.25">
      <c r="A506">
        <v>43</v>
      </c>
      <c r="B506" s="1" t="s">
        <v>4</v>
      </c>
      <c r="C506">
        <f t="shared" ref="C506" si="571">C494+C505</f>
        <v>1.3042903097250911</v>
      </c>
      <c r="D506">
        <f t="shared" ref="D506" si="572">D494+D505</f>
        <v>0.69570969027490825</v>
      </c>
      <c r="E506">
        <f t="shared" ref="E506" si="573">E494+E505</f>
        <v>0.11558710999704784</v>
      </c>
      <c r="F506">
        <f t="shared" ref="F506" si="574">F494+F505</f>
        <v>0.74155574714580896</v>
      </c>
    </row>
    <row r="507" spans="1:6" x14ac:dyDescent="0.25">
      <c r="B507" s="1" t="s">
        <v>5</v>
      </c>
      <c r="C507">
        <f t="shared" ref="C507:C530" si="575">C506+D506-2</f>
        <v>0</v>
      </c>
      <c r="D507">
        <f t="shared" ref="D507:D530" si="576">C506*E506+D506*F506-2/3</f>
        <v>0</v>
      </c>
      <c r="E507">
        <f t="shared" ref="E507:E530" si="577">C506*E506*E506+D506*F506*F506-2/5</f>
        <v>0</v>
      </c>
      <c r="F507">
        <f t="shared" ref="F507:F530" si="578">C506*E506*E506*E506+D506*F506*F506*F506-2/7</f>
        <v>0</v>
      </c>
    </row>
    <row r="508" spans="1:6" x14ac:dyDescent="0.25">
      <c r="C508" s="2">
        <f>1</f>
        <v>1</v>
      </c>
      <c r="D508" s="3">
        <f>1</f>
        <v>1</v>
      </c>
      <c r="E508" s="3">
        <f>0</f>
        <v>0</v>
      </c>
      <c r="F508" s="4">
        <f>0</f>
        <v>0</v>
      </c>
    </row>
    <row r="509" spans="1:6" x14ac:dyDescent="0.25">
      <c r="B509" s="1" t="s">
        <v>6</v>
      </c>
      <c r="C509" s="5">
        <f t="shared" ref="C509:D509" si="579">E506</f>
        <v>0.11558710999704784</v>
      </c>
      <c r="D509" s="6">
        <f t="shared" si="579"/>
        <v>0.74155574714580896</v>
      </c>
      <c r="E509" s="6">
        <f t="shared" ref="E509:F509" si="580">C506</f>
        <v>1.3042903097250911</v>
      </c>
      <c r="F509" s="7">
        <f t="shared" si="580"/>
        <v>0.69570969027490825</v>
      </c>
    </row>
    <row r="510" spans="1:6" x14ac:dyDescent="0.25">
      <c r="C510" s="5">
        <f t="shared" ref="C510:D510" si="581">E506*E506</f>
        <v>1.3360379997469637E-2</v>
      </c>
      <c r="D510" s="6">
        <f t="shared" si="581"/>
        <v>0.54990492612497899</v>
      </c>
      <c r="E510" s="6">
        <f t="shared" ref="E510:F510" si="582">2*C506*E506</f>
        <v>0.30151829499655541</v>
      </c>
      <c r="F510" s="7">
        <f t="shared" si="582"/>
        <v>1.0318150383367779</v>
      </c>
    </row>
    <row r="511" spans="1:6" x14ac:dyDescent="0.25">
      <c r="C511" s="8">
        <f t="shared" ref="C511:D511" si="583">E506*E506*E506</f>
        <v>1.5442877123698806E-3</v>
      </c>
      <c r="D511" s="9">
        <f t="shared" si="583"/>
        <v>0.40778515835176965</v>
      </c>
      <c r="E511" s="9">
        <f t="shared" ref="E511:F511" si="584">3*C506*E506*E506</f>
        <v>5.2277442494833758E-2</v>
      </c>
      <c r="F511" s="10">
        <f t="shared" si="584"/>
        <v>1.1477225575051662</v>
      </c>
    </row>
    <row r="513" spans="1:6" x14ac:dyDescent="0.25">
      <c r="C513" s="2" cm="1">
        <f t="array" ref="C513:F516">MINVERSE(C508:F511)</f>
        <v>0.88511742324582021</v>
      </c>
      <c r="D513" s="3">
        <v>2.0967504154494629</v>
      </c>
      <c r="E513" s="3">
        <v>-10.483752077247326</v>
      </c>
      <c r="F513" s="4">
        <v>8.1540293934145929</v>
      </c>
    </row>
    <row r="514" spans="1:6" x14ac:dyDescent="0.25">
      <c r="B514" s="1" t="s">
        <v>7</v>
      </c>
      <c r="C514" s="5">
        <v>0.1148825767541798</v>
      </c>
      <c r="D514" s="6">
        <v>-2.0967504154494629</v>
      </c>
      <c r="E514" s="6">
        <v>10.483752077247326</v>
      </c>
      <c r="F514" s="7">
        <v>-8.1540293934145929</v>
      </c>
    </row>
    <row r="515" spans="1:6" x14ac:dyDescent="0.25">
      <c r="C515" s="5">
        <v>-0.1243705626566651</v>
      </c>
      <c r="D515" s="6">
        <v>1.4114213554722104</v>
      </c>
      <c r="E515" s="6">
        <v>-3.1281471867166788</v>
      </c>
      <c r="F515" s="7">
        <v>1.9566835038981822</v>
      </c>
    </row>
    <row r="516" spans="1:6" x14ac:dyDescent="0.25">
      <c r="C516" s="8">
        <v>-3.6343723057620445E-2</v>
      </c>
      <c r="D516" s="9">
        <v>0.67786435881350382</v>
      </c>
      <c r="E516" s="9">
        <v>-3.5682813847118955</v>
      </c>
      <c r="F516" s="10">
        <v>3.6683164961018226</v>
      </c>
    </row>
    <row r="517" spans="1:6" x14ac:dyDescent="0.25">
      <c r="B517" s="1" t="s">
        <v>8</v>
      </c>
      <c r="C517" cm="1">
        <f t="array" ref="C517:F517">-TRANSPOSE(MMULT(_xlfn.ANCHORARRAY(C513),TRANSPOSE(C507:F507)))</f>
        <v>0</v>
      </c>
      <c r="D517">
        <v>0</v>
      </c>
      <c r="E517">
        <v>0</v>
      </c>
      <c r="F517">
        <v>0</v>
      </c>
    </row>
    <row r="518" spans="1:6" x14ac:dyDescent="0.25">
      <c r="A518">
        <v>44</v>
      </c>
      <c r="B518" s="1" t="s">
        <v>4</v>
      </c>
      <c r="C518">
        <f t="shared" ref="C518" si="585">C506+C517</f>
        <v>1.3042903097250911</v>
      </c>
      <c r="D518">
        <f t="shared" ref="D518" si="586">D506+D517</f>
        <v>0.69570969027490825</v>
      </c>
      <c r="E518">
        <f t="shared" ref="E518" si="587">E506+E517</f>
        <v>0.11558710999704784</v>
      </c>
      <c r="F518">
        <f t="shared" ref="F518" si="588">F506+F517</f>
        <v>0.74155574714580896</v>
      </c>
    </row>
    <row r="519" spans="1:6" x14ac:dyDescent="0.25">
      <c r="B519" s="1" t="s">
        <v>5</v>
      </c>
      <c r="C519">
        <f t="shared" ref="C519:C530" si="589">C518+D518-2</f>
        <v>0</v>
      </c>
      <c r="D519">
        <f t="shared" ref="D519:D530" si="590">C518*E518+D518*F518-2/3</f>
        <v>0</v>
      </c>
      <c r="E519">
        <f t="shared" ref="E519:E530" si="591">C518*E518*E518+D518*F518*F518-2/5</f>
        <v>0</v>
      </c>
      <c r="F519">
        <f t="shared" ref="F519:F530" si="592">C518*E518*E518*E518+D518*F518*F518*F518-2/7</f>
        <v>0</v>
      </c>
    </row>
    <row r="520" spans="1:6" x14ac:dyDescent="0.25">
      <c r="C520" s="2">
        <f>1</f>
        <v>1</v>
      </c>
      <c r="D520" s="3">
        <f>1</f>
        <v>1</v>
      </c>
      <c r="E520" s="3">
        <f>0</f>
        <v>0</v>
      </c>
      <c r="F520" s="4">
        <f>0</f>
        <v>0</v>
      </c>
    </row>
    <row r="521" spans="1:6" x14ac:dyDescent="0.25">
      <c r="B521" s="1" t="s">
        <v>6</v>
      </c>
      <c r="C521" s="5">
        <f t="shared" ref="C521:D521" si="593">E518</f>
        <v>0.11558710999704784</v>
      </c>
      <c r="D521" s="6">
        <f t="shared" si="593"/>
        <v>0.74155574714580896</v>
      </c>
      <c r="E521" s="6">
        <f t="shared" ref="E521:F521" si="594">C518</f>
        <v>1.3042903097250911</v>
      </c>
      <c r="F521" s="7">
        <f t="shared" si="594"/>
        <v>0.69570969027490825</v>
      </c>
    </row>
    <row r="522" spans="1:6" x14ac:dyDescent="0.25">
      <c r="C522" s="5">
        <f t="shared" ref="C522:D522" si="595">E518*E518</f>
        <v>1.3360379997469637E-2</v>
      </c>
      <c r="D522" s="6">
        <f t="shared" si="595"/>
        <v>0.54990492612497899</v>
      </c>
      <c r="E522" s="6">
        <f t="shared" ref="E522:F522" si="596">2*C518*E518</f>
        <v>0.30151829499655541</v>
      </c>
      <c r="F522" s="7">
        <f t="shared" si="596"/>
        <v>1.0318150383367779</v>
      </c>
    </row>
    <row r="523" spans="1:6" x14ac:dyDescent="0.25">
      <c r="C523" s="8">
        <f t="shared" ref="C523:D523" si="597">E518*E518*E518</f>
        <v>1.5442877123698806E-3</v>
      </c>
      <c r="D523" s="9">
        <f t="shared" si="597"/>
        <v>0.40778515835176965</v>
      </c>
      <c r="E523" s="9">
        <f t="shared" ref="E523:F523" si="598">3*C518*E518*E518</f>
        <v>5.2277442494833758E-2</v>
      </c>
      <c r="F523" s="10">
        <f t="shared" si="598"/>
        <v>1.1477225575051662</v>
      </c>
    </row>
    <row r="525" spans="1:6" x14ac:dyDescent="0.25">
      <c r="C525" s="2" cm="1">
        <f t="array" ref="C525:F528">MINVERSE(C520:F523)</f>
        <v>0.88511742324582021</v>
      </c>
      <c r="D525" s="3">
        <v>2.0967504154494629</v>
      </c>
      <c r="E525" s="3">
        <v>-10.483752077247326</v>
      </c>
      <c r="F525" s="4">
        <v>8.1540293934145929</v>
      </c>
    </row>
    <row r="526" spans="1:6" x14ac:dyDescent="0.25">
      <c r="B526" s="1" t="s">
        <v>7</v>
      </c>
      <c r="C526" s="5">
        <v>0.1148825767541798</v>
      </c>
      <c r="D526" s="6">
        <v>-2.0967504154494629</v>
      </c>
      <c r="E526" s="6">
        <v>10.483752077247326</v>
      </c>
      <c r="F526" s="7">
        <v>-8.1540293934145929</v>
      </c>
    </row>
    <row r="527" spans="1:6" x14ac:dyDescent="0.25">
      <c r="C527" s="5">
        <v>-0.1243705626566651</v>
      </c>
      <c r="D527" s="6">
        <v>1.4114213554722104</v>
      </c>
      <c r="E527" s="6">
        <v>-3.1281471867166788</v>
      </c>
      <c r="F527" s="7">
        <v>1.9566835038981822</v>
      </c>
    </row>
    <row r="528" spans="1:6" x14ac:dyDescent="0.25">
      <c r="C528" s="8">
        <v>-3.6343723057620445E-2</v>
      </c>
      <c r="D528" s="9">
        <v>0.67786435881350382</v>
      </c>
      <c r="E528" s="9">
        <v>-3.5682813847118955</v>
      </c>
      <c r="F528" s="10">
        <v>3.6683164961018226</v>
      </c>
    </row>
    <row r="529" spans="1:6" x14ac:dyDescent="0.25">
      <c r="B529" s="1" t="s">
        <v>8</v>
      </c>
      <c r="C529" cm="1">
        <f t="array" ref="C529:F529">-TRANSPOSE(MMULT(_xlfn.ANCHORARRAY(C525),TRANSPOSE(C519:F519)))</f>
        <v>0</v>
      </c>
      <c r="D529">
        <v>0</v>
      </c>
      <c r="E529">
        <v>0</v>
      </c>
      <c r="F529">
        <v>0</v>
      </c>
    </row>
    <row r="530" spans="1:6" x14ac:dyDescent="0.25">
      <c r="A530">
        <v>45</v>
      </c>
      <c r="B530" s="1" t="s">
        <v>4</v>
      </c>
      <c r="C530">
        <f t="shared" ref="C530" si="599">C518+C529</f>
        <v>1.3042903097250911</v>
      </c>
      <c r="D530">
        <f t="shared" ref="D530" si="600">D518+D529</f>
        <v>0.69570969027490825</v>
      </c>
      <c r="E530">
        <f t="shared" ref="E530" si="601">E518+E529</f>
        <v>0.11558710999704784</v>
      </c>
      <c r="F530">
        <f t="shared" ref="F530" si="602">F518+F529</f>
        <v>0.74155574714580896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逸凡 高</cp:lastModifiedBy>
  <dcterms:created xsi:type="dcterms:W3CDTF">2023-05-12T11:15:00Z</dcterms:created>
  <dcterms:modified xsi:type="dcterms:W3CDTF">2026-05-09T15:57:45Z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